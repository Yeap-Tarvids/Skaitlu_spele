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13_ncr:1_{44BB3A51-E7D2-4C9F-A104-ED1A5121E65E}" xr6:coauthVersionLast="47" xr6:coauthVersionMax="47" xr10:uidLastSave="{00000000-0000-0000-0000-000000000000}"/>
  <bookViews>
    <workbookView xWindow="-105" yWindow="0" windowWidth="14610" windowHeight="15585" xr2:uid="{82C751C6-0959-4E92-B423-94143507F322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2" i="1" l="1"/>
  <c r="N130" i="1"/>
  <c r="L131" i="1"/>
  <c r="L130" i="1"/>
  <c r="L129" i="1"/>
  <c r="O107" i="1"/>
  <c r="O108" i="1"/>
  <c r="O109" i="1"/>
  <c r="O110" i="1"/>
  <c r="O111" i="1"/>
  <c r="O112" i="1"/>
  <c r="O113" i="1"/>
  <c r="O114" i="1"/>
  <c r="O106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3" i="1"/>
  <c r="O24" i="1"/>
  <c r="O25" i="1"/>
  <c r="O26" i="1"/>
  <c r="O27" i="1"/>
  <c r="O28" i="1"/>
  <c r="O29" i="1"/>
  <c r="O30" i="1"/>
  <c r="O31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7" i="1"/>
  <c r="O48" i="1"/>
  <c r="O49" i="1"/>
  <c r="O50" i="1"/>
  <c r="O51" i="1"/>
  <c r="O53" i="1"/>
  <c r="O54" i="1"/>
  <c r="O55" i="1"/>
  <c r="O56" i="1"/>
  <c r="O57" i="1"/>
  <c r="O58" i="1"/>
  <c r="O59" i="1"/>
  <c r="O60" i="1"/>
  <c r="O61" i="1"/>
  <c r="O63" i="1"/>
  <c r="O64" i="1"/>
  <c r="O65" i="1"/>
  <c r="O66" i="1"/>
  <c r="O67" i="1"/>
  <c r="O68" i="1"/>
  <c r="O69" i="1"/>
  <c r="O70" i="1"/>
  <c r="O71" i="1"/>
  <c r="O73" i="1"/>
  <c r="O74" i="1"/>
  <c r="O75" i="1"/>
  <c r="O76" i="1"/>
  <c r="O77" i="1"/>
  <c r="O78" i="1"/>
  <c r="O79" i="1"/>
  <c r="O80" i="1"/>
  <c r="O81" i="1"/>
  <c r="O83" i="1"/>
  <c r="O84" i="1"/>
  <c r="O85" i="1"/>
  <c r="O86" i="1"/>
  <c r="O87" i="1"/>
  <c r="O88" i="1"/>
  <c r="O89" i="1"/>
  <c r="O90" i="1"/>
  <c r="O91" i="1"/>
  <c r="O93" i="1"/>
  <c r="O94" i="1"/>
  <c r="O95" i="1"/>
  <c r="O96" i="1"/>
  <c r="O97" i="1"/>
  <c r="O98" i="1"/>
  <c r="O99" i="1"/>
  <c r="O100" i="1"/>
  <c r="O101" i="1"/>
  <c r="O3" i="1"/>
  <c r="C128" i="1"/>
  <c r="N136" i="1"/>
  <c r="N135" i="1"/>
  <c r="N134" i="1"/>
  <c r="N133" i="1"/>
  <c r="N131" i="1"/>
  <c r="N129" i="1"/>
  <c r="N128" i="1"/>
  <c r="L136" i="1"/>
  <c r="K136" i="1"/>
  <c r="L135" i="1"/>
  <c r="K135" i="1"/>
  <c r="L134" i="1"/>
  <c r="K134" i="1"/>
  <c r="L133" i="1"/>
  <c r="K133" i="1"/>
  <c r="L132" i="1"/>
  <c r="K132" i="1"/>
  <c r="K131" i="1"/>
  <c r="K130" i="1"/>
  <c r="K129" i="1"/>
  <c r="L128" i="1"/>
  <c r="K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28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B118" i="1"/>
  <c r="B119" i="1"/>
  <c r="B120" i="1"/>
  <c r="B121" i="1"/>
  <c r="B122" i="1"/>
  <c r="B123" i="1"/>
  <c r="B124" i="1"/>
  <c r="B125" i="1"/>
  <c r="B117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B114" i="1"/>
  <c r="B107" i="1"/>
  <c r="B108" i="1"/>
  <c r="B109" i="1"/>
  <c r="B110" i="1"/>
  <c r="B111" i="1"/>
  <c r="B112" i="1"/>
  <c r="B113" i="1"/>
  <c r="B106" i="1"/>
</calcChain>
</file>

<file path=xl/sharedStrings.xml><?xml version="1.0" encoding="utf-8"?>
<sst xmlns="http://schemas.openxmlformats.org/spreadsheetml/2006/main" count="55" uniqueCount="25">
  <si>
    <t>Minimax</t>
  </si>
  <si>
    <t>Garums = 20</t>
  </si>
  <si>
    <t>Koka izveides laiks (ms)</t>
  </si>
  <si>
    <t>Gājiena izvēles laiks(ms)</t>
  </si>
  <si>
    <t>Virsotņu skaits kokā</t>
  </si>
  <si>
    <t>Aplūkoto virsotņu skaits</t>
  </si>
  <si>
    <t>Neizškirts</t>
  </si>
  <si>
    <t>Uzvar dators</t>
  </si>
  <si>
    <t>Alpha-Beta</t>
  </si>
  <si>
    <t>Uzvar Cilvēks</t>
  </si>
  <si>
    <t>Uzvar Dators</t>
  </si>
  <si>
    <t>Neizšķirts</t>
  </si>
  <si>
    <t>Vidējais koka izveides laiks</t>
  </si>
  <si>
    <t>Vidējaisgājiena izvēles laiks</t>
  </si>
  <si>
    <t>Vidējais virsotņu skaits kokā</t>
  </si>
  <si>
    <t>Vidējais aplūkoto virsotņu skaits</t>
  </si>
  <si>
    <t>Standartnovirze koka izveides laikam</t>
  </si>
  <si>
    <t>Standartnovirze izvēles laikam</t>
  </si>
  <si>
    <t>Standartnovirze aplūkoto virsotņu skaitam</t>
  </si>
  <si>
    <t>Standartnovirze virsotņu skaitam kokā</t>
  </si>
  <si>
    <t>Patiesības varbūtība</t>
  </si>
  <si>
    <t>t</t>
  </si>
  <si>
    <t>Absolūtā kļūda koka izveides laikam</t>
  </si>
  <si>
    <t>Absolūtā kļūda izvēles laikam</t>
  </si>
  <si>
    <t>Absolūtā kļūda aplūkoto virsotņu skaitam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</si>
</sst>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169" fontId="0" fillId="0" borderId="0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6" xfId="0" applyNumberFormat="1" applyBorder="1"/>
    <xf numFmtId="169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5" xfId="0" applyBorder="1"/>
    <xf numFmtId="169" fontId="0" fillId="0" borderId="8" xfId="0" applyNumberFormat="1" applyBorder="1"/>
    <xf numFmtId="1" fontId="0" fillId="0" borderId="7" xfId="0" applyNumberFormat="1" applyBorder="1"/>
    <xf numFmtId="1" fontId="0" fillId="0" borderId="8" xfId="0" applyNumberFormat="1" applyBorder="1"/>
    <xf numFmtId="2" fontId="0" fillId="0" borderId="0" xfId="0" applyNumberFormat="1"/>
    <xf numFmtId="169" fontId="0" fillId="0" borderId="18" xfId="0" applyNumberFormat="1" applyBorder="1"/>
    <xf numFmtId="169" fontId="0" fillId="0" borderId="15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9" fontId="0" fillId="0" borderId="16" xfId="0" applyNumberFormat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7" xfId="0" applyFill="1" applyBorder="1"/>
  </cellXfs>
  <cellStyles count="1">
    <cellStyle name="Parasts" xfId="0" builtinId="0"/>
  </cellStyles>
  <dxfs count="0"/>
  <tableStyles count="0" defaultTableStyle="TableStyleMedium2" defaultPivotStyle="PivotStyleLight16"/>
  <colors>
    <mruColors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BB18-0493-49AC-9138-7C2AD17D06F5}">
  <dimension ref="A1:O136"/>
  <sheetViews>
    <sheetView tabSelected="1" topLeftCell="K119" zoomScale="85" zoomScaleNormal="85" workbookViewId="0">
      <selection activeCell="N136" sqref="N136"/>
    </sheetView>
  </sheetViews>
  <sheetFormatPr defaultRowHeight="15" x14ac:dyDescent="0.25"/>
  <cols>
    <col min="1" max="1" width="13.5703125" customWidth="1"/>
    <col min="2" max="2" width="37.140625" customWidth="1"/>
    <col min="3" max="3" width="31.85546875" customWidth="1"/>
    <col min="4" max="4" width="34.85546875" customWidth="1"/>
    <col min="5" max="5" width="39.42578125" customWidth="1"/>
    <col min="7" max="7" width="20" customWidth="1"/>
    <col min="8" max="8" width="12.5703125" customWidth="1"/>
    <col min="9" max="9" width="15.42578125" customWidth="1"/>
    <col min="10" max="10" width="21.140625" customWidth="1"/>
    <col min="11" max="11" width="35" customWidth="1"/>
    <col min="12" max="12" width="33.42578125" customWidth="1"/>
    <col min="13" max="13" width="36.7109375" customWidth="1"/>
    <col min="14" max="14" width="40.28515625" customWidth="1"/>
  </cols>
  <sheetData>
    <row r="1" spans="1:15" ht="15.75" thickBot="1" x14ac:dyDescent="0.3">
      <c r="A1" t="s">
        <v>1</v>
      </c>
      <c r="G1" t="s">
        <v>20</v>
      </c>
      <c r="H1">
        <v>0.95</v>
      </c>
      <c r="J1" t="s">
        <v>1</v>
      </c>
    </row>
    <row r="2" spans="1:15" x14ac:dyDescent="0.25">
      <c r="A2" s="1" t="s">
        <v>0</v>
      </c>
      <c r="B2" s="2" t="s">
        <v>2</v>
      </c>
      <c r="C2" s="2" t="s">
        <v>3</v>
      </c>
      <c r="D2" s="2" t="s">
        <v>4</v>
      </c>
      <c r="E2" s="3" t="s">
        <v>5</v>
      </c>
      <c r="G2" t="s">
        <v>21</v>
      </c>
      <c r="H2">
        <v>2.2599999999999998</v>
      </c>
      <c r="J2" s="1" t="s">
        <v>8</v>
      </c>
      <c r="K2" s="2" t="s">
        <v>2</v>
      </c>
      <c r="L2" s="2" t="s">
        <v>3</v>
      </c>
      <c r="M2" s="2" t="s">
        <v>4</v>
      </c>
      <c r="N2" s="3" t="s">
        <v>5</v>
      </c>
    </row>
    <row r="3" spans="1:15" x14ac:dyDescent="0.25">
      <c r="A3" s="7">
        <v>1</v>
      </c>
      <c r="B3" s="10">
        <v>2.8069999999999999</v>
      </c>
      <c r="C3" s="14">
        <v>0.121</v>
      </c>
      <c r="D3" s="14">
        <v>911</v>
      </c>
      <c r="E3" s="14">
        <v>910</v>
      </c>
      <c r="J3" s="7">
        <v>1</v>
      </c>
      <c r="K3" s="10">
        <v>2.8250000000000002</v>
      </c>
      <c r="L3" s="14">
        <v>9.0999999999999998E-2</v>
      </c>
      <c r="M3" s="14">
        <v>911</v>
      </c>
      <c r="N3" s="14">
        <v>400</v>
      </c>
      <c r="O3" s="28">
        <f>ROUND(N3/M3*100,2)</f>
        <v>43.91</v>
      </c>
    </row>
    <row r="4" spans="1:15" x14ac:dyDescent="0.25">
      <c r="A4" s="8"/>
      <c r="B4" s="11">
        <v>4.2</v>
      </c>
      <c r="C4" s="12">
        <v>9.1999999999999998E-2</v>
      </c>
      <c r="D4" s="12">
        <v>658</v>
      </c>
      <c r="E4" s="12">
        <v>657</v>
      </c>
      <c r="J4" s="8"/>
      <c r="K4" s="11">
        <v>1.8779999999999999</v>
      </c>
      <c r="L4" s="12">
        <v>7.5999999999999998E-2</v>
      </c>
      <c r="M4" s="12">
        <v>658</v>
      </c>
      <c r="N4" s="12">
        <v>378</v>
      </c>
      <c r="O4" s="28">
        <f t="shared" ref="O4:O67" si="0">ROUND(N4/M4*100,2)</f>
        <v>57.45</v>
      </c>
    </row>
    <row r="5" spans="1:15" x14ac:dyDescent="0.25">
      <c r="A5" s="8"/>
      <c r="B5" s="12">
        <v>1.0620000000000001</v>
      </c>
      <c r="C5" s="12">
        <v>6.9000000000000006E-2</v>
      </c>
      <c r="D5" s="12">
        <v>457</v>
      </c>
      <c r="E5" s="12">
        <v>456</v>
      </c>
      <c r="J5" s="8"/>
      <c r="K5" s="12">
        <v>1.1759999999999999</v>
      </c>
      <c r="L5" s="12">
        <v>5.8000000000000003E-2</v>
      </c>
      <c r="M5" s="12">
        <v>457</v>
      </c>
      <c r="N5" s="12">
        <v>278</v>
      </c>
      <c r="O5" s="28">
        <f t="shared" si="0"/>
        <v>60.83</v>
      </c>
    </row>
    <row r="6" spans="1:15" x14ac:dyDescent="0.25">
      <c r="A6" s="8"/>
      <c r="B6" s="12">
        <v>0.95899999999999996</v>
      </c>
      <c r="C6" s="12">
        <v>4.8000000000000001E-2</v>
      </c>
      <c r="D6" s="12">
        <v>302</v>
      </c>
      <c r="E6" s="12">
        <v>301</v>
      </c>
      <c r="J6" s="8"/>
      <c r="K6" s="12">
        <v>0.71599999999999997</v>
      </c>
      <c r="L6" s="12">
        <v>3.4000000000000002E-2</v>
      </c>
      <c r="M6" s="12">
        <v>302</v>
      </c>
      <c r="N6" s="12">
        <v>156</v>
      </c>
      <c r="O6" s="28">
        <f t="shared" si="0"/>
        <v>51.66</v>
      </c>
    </row>
    <row r="7" spans="1:15" x14ac:dyDescent="0.25">
      <c r="A7" s="8"/>
      <c r="B7" s="12">
        <v>0.38500000000000001</v>
      </c>
      <c r="C7" s="12">
        <v>2.9000000000000001E-2</v>
      </c>
      <c r="D7" s="12">
        <v>187</v>
      </c>
      <c r="E7" s="12">
        <v>186</v>
      </c>
      <c r="J7" s="8"/>
      <c r="K7" s="12">
        <v>0.57599999999999996</v>
      </c>
      <c r="L7" s="12">
        <v>2.8000000000000001E-2</v>
      </c>
      <c r="M7" s="12">
        <v>187</v>
      </c>
      <c r="N7" s="12">
        <v>110</v>
      </c>
      <c r="O7" s="28">
        <f t="shared" si="0"/>
        <v>58.82</v>
      </c>
    </row>
    <row r="8" spans="1:15" x14ac:dyDescent="0.25">
      <c r="A8" s="8"/>
      <c r="B8" s="12">
        <v>0.47899999999999998</v>
      </c>
      <c r="C8" s="12">
        <v>2.1999999999999999E-2</v>
      </c>
      <c r="D8" s="12">
        <v>106</v>
      </c>
      <c r="E8" s="12">
        <v>105</v>
      </c>
      <c r="J8" s="8"/>
      <c r="K8" s="12">
        <v>0.21099999999999999</v>
      </c>
      <c r="L8" s="12">
        <v>2.5999999999999999E-2</v>
      </c>
      <c r="M8" s="12">
        <v>106</v>
      </c>
      <c r="N8" s="12">
        <v>85</v>
      </c>
      <c r="O8" s="28">
        <f t="shared" si="0"/>
        <v>80.19</v>
      </c>
    </row>
    <row r="9" spans="1:15" x14ac:dyDescent="0.25">
      <c r="A9" s="8"/>
      <c r="B9" s="12">
        <v>9.8000000000000004E-2</v>
      </c>
      <c r="C9" s="12">
        <v>1.2999999999999999E-2</v>
      </c>
      <c r="D9" s="12">
        <v>53</v>
      </c>
      <c r="E9" s="12">
        <v>52</v>
      </c>
      <c r="J9" s="8"/>
      <c r="K9" s="12">
        <v>0.109</v>
      </c>
      <c r="L9" s="12">
        <v>1.6E-2</v>
      </c>
      <c r="M9" s="12">
        <v>53</v>
      </c>
      <c r="N9" s="12">
        <v>40</v>
      </c>
      <c r="O9" s="28">
        <f t="shared" si="0"/>
        <v>75.47</v>
      </c>
    </row>
    <row r="10" spans="1:15" x14ac:dyDescent="0.25">
      <c r="A10" s="8"/>
      <c r="B10" s="12">
        <v>4.7E-2</v>
      </c>
      <c r="C10" s="12">
        <v>8.9999999999999993E-3</v>
      </c>
      <c r="D10" s="12">
        <v>22</v>
      </c>
      <c r="E10" s="12">
        <v>21</v>
      </c>
      <c r="J10" s="8"/>
      <c r="K10" s="12">
        <v>5.5E-2</v>
      </c>
      <c r="L10" s="12">
        <v>0.01</v>
      </c>
      <c r="M10" s="12">
        <v>22</v>
      </c>
      <c r="N10" s="12">
        <v>20</v>
      </c>
      <c r="O10" s="28">
        <f t="shared" si="0"/>
        <v>90.91</v>
      </c>
    </row>
    <row r="11" spans="1:15" x14ac:dyDescent="0.25">
      <c r="A11" s="8"/>
      <c r="B11" s="12">
        <v>0.02</v>
      </c>
      <c r="C11" s="12">
        <v>6.0000000000000001E-3</v>
      </c>
      <c r="D11" s="12">
        <v>5</v>
      </c>
      <c r="E11" s="12">
        <v>4</v>
      </c>
      <c r="J11" s="8"/>
      <c r="K11" s="12">
        <v>1.7000000000000001E-2</v>
      </c>
      <c r="L11" s="12">
        <v>4.0000000000000001E-3</v>
      </c>
      <c r="M11" s="12">
        <v>5</v>
      </c>
      <c r="N11" s="12">
        <v>4</v>
      </c>
      <c r="O11" s="28">
        <f t="shared" si="0"/>
        <v>80</v>
      </c>
    </row>
    <row r="12" spans="1:15" x14ac:dyDescent="0.25">
      <c r="A12" s="9"/>
      <c r="B12" s="35" t="s">
        <v>6</v>
      </c>
      <c r="C12" s="36"/>
      <c r="D12" s="36"/>
      <c r="E12" s="37"/>
      <c r="J12" s="9"/>
      <c r="K12" s="40" t="s">
        <v>10</v>
      </c>
      <c r="L12" s="41"/>
      <c r="M12" s="41"/>
      <c r="N12" s="42"/>
      <c r="O12" s="28"/>
    </row>
    <row r="13" spans="1:15" x14ac:dyDescent="0.25">
      <c r="A13" s="21">
        <v>2</v>
      </c>
      <c r="B13" s="14">
        <v>2.8639999999999999</v>
      </c>
      <c r="C13" s="14">
        <v>0.13300000000000001</v>
      </c>
      <c r="D13" s="14">
        <v>911</v>
      </c>
      <c r="E13" s="14">
        <v>910</v>
      </c>
      <c r="J13" s="21">
        <v>2</v>
      </c>
      <c r="K13" s="14">
        <v>5.2830000000000004</v>
      </c>
      <c r="L13" s="14">
        <v>7.0999999999999994E-2</v>
      </c>
      <c r="M13" s="14">
        <v>911</v>
      </c>
      <c r="N13" s="14">
        <v>354</v>
      </c>
      <c r="O13" s="28">
        <f t="shared" si="0"/>
        <v>38.86</v>
      </c>
    </row>
    <row r="14" spans="1:15" x14ac:dyDescent="0.25">
      <c r="A14" s="22"/>
      <c r="B14" s="12">
        <v>1.8280000000000001</v>
      </c>
      <c r="C14" s="12">
        <v>9.9000000000000005E-2</v>
      </c>
      <c r="D14" s="12">
        <v>658</v>
      </c>
      <c r="E14" s="12">
        <v>657</v>
      </c>
      <c r="J14" s="22"/>
      <c r="K14" s="12">
        <v>1.6950000000000001</v>
      </c>
      <c r="L14" s="12">
        <v>7.3999999999999996E-2</v>
      </c>
      <c r="M14" s="12">
        <v>658</v>
      </c>
      <c r="N14" s="12">
        <v>381</v>
      </c>
      <c r="O14" s="28">
        <f t="shared" si="0"/>
        <v>57.9</v>
      </c>
    </row>
    <row r="15" spans="1:15" x14ac:dyDescent="0.25">
      <c r="A15" s="22"/>
      <c r="B15" s="12">
        <v>1.2410000000000001</v>
      </c>
      <c r="C15" s="12">
        <v>6.4000000000000001E-2</v>
      </c>
      <c r="D15" s="12">
        <v>457</v>
      </c>
      <c r="E15" s="12">
        <v>456</v>
      </c>
      <c r="J15" s="22"/>
      <c r="K15" s="12">
        <v>1.167</v>
      </c>
      <c r="L15" s="12">
        <v>4.7E-2</v>
      </c>
      <c r="M15" s="12">
        <v>457</v>
      </c>
      <c r="N15" s="12">
        <v>226</v>
      </c>
      <c r="O15" s="28">
        <f t="shared" si="0"/>
        <v>49.45</v>
      </c>
    </row>
    <row r="16" spans="1:15" x14ac:dyDescent="0.25">
      <c r="A16" s="22"/>
      <c r="B16" s="12">
        <v>0.68899999999999995</v>
      </c>
      <c r="C16" s="12">
        <v>4.4999999999999998E-2</v>
      </c>
      <c r="D16" s="12">
        <v>302</v>
      </c>
      <c r="E16" s="12">
        <v>301</v>
      </c>
      <c r="J16" s="22"/>
      <c r="K16" s="12">
        <v>0.78900000000000003</v>
      </c>
      <c r="L16" s="12">
        <v>3.7999999999999999E-2</v>
      </c>
      <c r="M16" s="12">
        <v>302</v>
      </c>
      <c r="N16" s="12">
        <v>181</v>
      </c>
      <c r="O16" s="28">
        <f t="shared" si="0"/>
        <v>59.93</v>
      </c>
    </row>
    <row r="17" spans="1:15" x14ac:dyDescent="0.25">
      <c r="A17" s="22"/>
      <c r="B17" s="12">
        <v>0.57199999999999995</v>
      </c>
      <c r="C17" s="12">
        <v>0.03</v>
      </c>
      <c r="D17" s="12">
        <v>187</v>
      </c>
      <c r="E17" s="12">
        <v>186</v>
      </c>
      <c r="J17" s="22"/>
      <c r="K17" s="12">
        <v>0.53600000000000003</v>
      </c>
      <c r="L17" s="12">
        <v>2.8000000000000001E-2</v>
      </c>
      <c r="M17" s="12">
        <v>187</v>
      </c>
      <c r="N17" s="12">
        <v>106</v>
      </c>
      <c r="O17" s="28">
        <f t="shared" si="0"/>
        <v>56.68</v>
      </c>
    </row>
    <row r="18" spans="1:15" x14ac:dyDescent="0.25">
      <c r="A18" s="22"/>
      <c r="B18" s="12">
        <v>0.20799999999999999</v>
      </c>
      <c r="C18" s="12">
        <v>2.1000000000000001E-2</v>
      </c>
      <c r="D18" s="12">
        <v>106</v>
      </c>
      <c r="E18" s="12">
        <v>105</v>
      </c>
      <c r="J18" s="22"/>
      <c r="K18" s="12">
        <v>0.2</v>
      </c>
      <c r="L18" s="12">
        <v>2.4E-2</v>
      </c>
      <c r="M18" s="12">
        <v>106</v>
      </c>
      <c r="N18" s="12">
        <v>79</v>
      </c>
      <c r="O18" s="28">
        <f t="shared" si="0"/>
        <v>74.53</v>
      </c>
    </row>
    <row r="19" spans="1:15" x14ac:dyDescent="0.25">
      <c r="A19" s="22"/>
      <c r="B19" s="12">
        <v>0.13900000000000001</v>
      </c>
      <c r="C19" s="12">
        <v>1.9E-2</v>
      </c>
      <c r="D19" s="12">
        <v>53</v>
      </c>
      <c r="E19" s="12">
        <v>52</v>
      </c>
      <c r="J19" s="22"/>
      <c r="K19" s="12">
        <v>0.10100000000000001</v>
      </c>
      <c r="L19" s="12">
        <v>1.2999999999999999E-2</v>
      </c>
      <c r="M19" s="12">
        <v>53</v>
      </c>
      <c r="N19" s="12">
        <v>38</v>
      </c>
      <c r="O19" s="28">
        <f t="shared" si="0"/>
        <v>71.7</v>
      </c>
    </row>
    <row r="20" spans="1:15" x14ac:dyDescent="0.25">
      <c r="A20" s="22"/>
      <c r="B20" s="12">
        <v>0.05</v>
      </c>
      <c r="C20" s="12">
        <v>8.9999999999999993E-3</v>
      </c>
      <c r="D20" s="12">
        <v>22</v>
      </c>
      <c r="E20" s="12">
        <v>21</v>
      </c>
      <c r="J20" s="22"/>
      <c r="K20" s="12">
        <v>4.9000000000000002E-2</v>
      </c>
      <c r="L20" s="12">
        <v>0.01</v>
      </c>
      <c r="M20" s="12">
        <v>22</v>
      </c>
      <c r="N20" s="12">
        <v>20</v>
      </c>
      <c r="O20" s="28">
        <f t="shared" si="0"/>
        <v>90.91</v>
      </c>
    </row>
    <row r="21" spans="1:15" x14ac:dyDescent="0.25">
      <c r="A21" s="22"/>
      <c r="B21" s="13">
        <v>1.7000000000000001E-2</v>
      </c>
      <c r="C21" s="13">
        <v>5.0000000000000001E-3</v>
      </c>
      <c r="D21" s="13">
        <v>5</v>
      </c>
      <c r="E21" s="13">
        <v>4</v>
      </c>
      <c r="J21" s="22"/>
      <c r="K21" s="13">
        <v>1.7000000000000001E-2</v>
      </c>
      <c r="L21" s="13">
        <v>4.0000000000000001E-3</v>
      </c>
      <c r="M21" s="13">
        <v>5</v>
      </c>
      <c r="N21" s="13">
        <v>4</v>
      </c>
      <c r="O21" s="28">
        <f t="shared" si="0"/>
        <v>80</v>
      </c>
    </row>
    <row r="22" spans="1:15" x14ac:dyDescent="0.25">
      <c r="A22" s="9"/>
      <c r="B22" s="52" t="s">
        <v>7</v>
      </c>
      <c r="C22" s="43"/>
      <c r="D22" s="53"/>
      <c r="E22" s="44"/>
      <c r="J22" s="9"/>
      <c r="K22" s="45" t="s">
        <v>9</v>
      </c>
      <c r="L22" s="46"/>
      <c r="M22" s="47"/>
      <c r="N22" s="48"/>
      <c r="O22" s="28"/>
    </row>
    <row r="23" spans="1:15" x14ac:dyDescent="0.25">
      <c r="A23" s="7">
        <v>3</v>
      </c>
      <c r="B23" s="14">
        <v>2.99</v>
      </c>
      <c r="C23" s="15">
        <v>0.123</v>
      </c>
      <c r="D23" s="14">
        <v>911</v>
      </c>
      <c r="E23" s="18">
        <v>910</v>
      </c>
      <c r="J23" s="7">
        <v>3</v>
      </c>
      <c r="K23" s="14">
        <v>2.8170000000000002</v>
      </c>
      <c r="L23" s="15">
        <v>6.8000000000000005E-2</v>
      </c>
      <c r="M23" s="14">
        <v>911</v>
      </c>
      <c r="N23" s="18">
        <v>324</v>
      </c>
      <c r="O23" s="28">
        <f t="shared" si="0"/>
        <v>35.57</v>
      </c>
    </row>
    <row r="24" spans="1:15" x14ac:dyDescent="0.25">
      <c r="A24" s="8"/>
      <c r="B24" s="12">
        <v>1.762</v>
      </c>
      <c r="C24" s="16">
        <v>9.1999999999999998E-2</v>
      </c>
      <c r="D24" s="12">
        <v>658</v>
      </c>
      <c r="E24" s="19">
        <v>657</v>
      </c>
      <c r="J24" s="8"/>
      <c r="K24" s="12">
        <v>2.0739999999999998</v>
      </c>
      <c r="L24" s="16">
        <v>7.0000000000000007E-2</v>
      </c>
      <c r="M24" s="12">
        <v>658</v>
      </c>
      <c r="N24" s="19">
        <v>330</v>
      </c>
      <c r="O24" s="28">
        <f t="shared" si="0"/>
        <v>50.15</v>
      </c>
    </row>
    <row r="25" spans="1:15" x14ac:dyDescent="0.25">
      <c r="A25" s="8"/>
      <c r="B25" s="12">
        <v>1.3129999999999999</v>
      </c>
      <c r="C25" s="16">
        <v>6.7000000000000004E-2</v>
      </c>
      <c r="D25" s="12">
        <v>457</v>
      </c>
      <c r="E25" s="19">
        <v>456</v>
      </c>
      <c r="J25" s="8"/>
      <c r="K25" s="12">
        <v>1.1160000000000001</v>
      </c>
      <c r="L25" s="16">
        <v>6.3E-2</v>
      </c>
      <c r="M25" s="12">
        <v>457</v>
      </c>
      <c r="N25" s="19">
        <v>317</v>
      </c>
      <c r="O25" s="28">
        <f t="shared" si="0"/>
        <v>69.37</v>
      </c>
    </row>
    <row r="26" spans="1:15" x14ac:dyDescent="0.25">
      <c r="A26" s="8"/>
      <c r="B26" s="12">
        <v>0.70099999999999996</v>
      </c>
      <c r="C26" s="16">
        <v>4.4999999999999998E-2</v>
      </c>
      <c r="D26" s="12">
        <v>302</v>
      </c>
      <c r="E26" s="19">
        <v>301</v>
      </c>
      <c r="J26" s="8"/>
      <c r="K26" s="12">
        <v>0.871</v>
      </c>
      <c r="L26" s="16">
        <v>3.4000000000000002E-2</v>
      </c>
      <c r="M26" s="12">
        <v>302</v>
      </c>
      <c r="N26" s="19">
        <v>161</v>
      </c>
      <c r="O26" s="28">
        <f t="shared" si="0"/>
        <v>53.31</v>
      </c>
    </row>
    <row r="27" spans="1:15" x14ac:dyDescent="0.25">
      <c r="A27" s="8"/>
      <c r="B27" s="12">
        <v>0.65500000000000003</v>
      </c>
      <c r="C27" s="16">
        <v>3.1E-2</v>
      </c>
      <c r="D27" s="12">
        <v>187</v>
      </c>
      <c r="E27" s="19">
        <v>186</v>
      </c>
      <c r="J27" s="8"/>
      <c r="K27" s="12">
        <v>0.39200000000000002</v>
      </c>
      <c r="L27" s="16">
        <v>0.03</v>
      </c>
      <c r="M27" s="12">
        <v>187</v>
      </c>
      <c r="N27" s="19">
        <v>128</v>
      </c>
      <c r="O27" s="28">
        <f t="shared" si="0"/>
        <v>68.45</v>
      </c>
    </row>
    <row r="28" spans="1:15" x14ac:dyDescent="0.25">
      <c r="A28" s="8"/>
      <c r="B28" s="12">
        <v>0.22</v>
      </c>
      <c r="C28" s="16">
        <v>2.1999999999999999E-2</v>
      </c>
      <c r="D28" s="12">
        <v>106</v>
      </c>
      <c r="E28" s="19">
        <v>105</v>
      </c>
      <c r="J28" s="8"/>
      <c r="K28" s="12">
        <v>0.34899999999999998</v>
      </c>
      <c r="L28" s="16">
        <v>2.3E-2</v>
      </c>
      <c r="M28" s="12">
        <v>106</v>
      </c>
      <c r="N28" s="19">
        <v>79</v>
      </c>
      <c r="O28" s="28">
        <f t="shared" si="0"/>
        <v>74.53</v>
      </c>
    </row>
    <row r="29" spans="1:15" x14ac:dyDescent="0.25">
      <c r="A29" s="8"/>
      <c r="B29" s="12">
        <v>0.104</v>
      </c>
      <c r="C29" s="16">
        <v>1.2E-2</v>
      </c>
      <c r="D29" s="12">
        <v>53</v>
      </c>
      <c r="E29" s="19">
        <v>52</v>
      </c>
      <c r="J29" s="8"/>
      <c r="K29" s="12">
        <v>9.9000000000000005E-2</v>
      </c>
      <c r="L29" s="16">
        <v>1.4999999999999999E-2</v>
      </c>
      <c r="M29" s="12">
        <v>53</v>
      </c>
      <c r="N29" s="19">
        <v>43</v>
      </c>
      <c r="O29" s="28">
        <f t="shared" si="0"/>
        <v>81.13</v>
      </c>
    </row>
    <row r="30" spans="1:15" x14ac:dyDescent="0.25">
      <c r="A30" s="8"/>
      <c r="B30" s="12">
        <v>5.0999999999999997E-2</v>
      </c>
      <c r="C30" s="16">
        <v>8.9999999999999993E-3</v>
      </c>
      <c r="D30" s="12">
        <v>22</v>
      </c>
      <c r="E30" s="19">
        <v>21</v>
      </c>
      <c r="J30" s="8"/>
      <c r="K30" s="12">
        <v>7.0000000000000007E-2</v>
      </c>
      <c r="L30" s="16">
        <v>0.01</v>
      </c>
      <c r="M30" s="12">
        <v>22</v>
      </c>
      <c r="N30" s="19">
        <v>19</v>
      </c>
      <c r="O30" s="28">
        <f t="shared" si="0"/>
        <v>86.36</v>
      </c>
    </row>
    <row r="31" spans="1:15" x14ac:dyDescent="0.25">
      <c r="A31" s="8"/>
      <c r="B31" s="13">
        <v>1.9E-2</v>
      </c>
      <c r="C31" s="17">
        <v>6.0000000000000001E-3</v>
      </c>
      <c r="D31" s="13">
        <v>5</v>
      </c>
      <c r="E31" s="20">
        <v>4</v>
      </c>
      <c r="J31" s="8"/>
      <c r="K31" s="13">
        <v>1.7000000000000001E-2</v>
      </c>
      <c r="L31" s="17">
        <v>4.0000000000000001E-3</v>
      </c>
      <c r="M31" s="13">
        <v>5</v>
      </c>
      <c r="N31" s="20">
        <v>4</v>
      </c>
      <c r="O31" s="28">
        <f t="shared" si="0"/>
        <v>80</v>
      </c>
    </row>
    <row r="32" spans="1:15" x14ac:dyDescent="0.25">
      <c r="A32" s="9"/>
      <c r="B32" s="35" t="s">
        <v>6</v>
      </c>
      <c r="C32" s="38"/>
      <c r="D32" s="38"/>
      <c r="E32" s="39"/>
      <c r="J32" s="9"/>
      <c r="K32" s="40" t="s">
        <v>10</v>
      </c>
      <c r="L32" s="43"/>
      <c r="M32" s="43"/>
      <c r="N32" s="44"/>
      <c r="O32" s="28"/>
    </row>
    <row r="33" spans="1:15" x14ac:dyDescent="0.25">
      <c r="A33" s="7">
        <v>4</v>
      </c>
      <c r="B33" s="14">
        <v>5.1870000000000003</v>
      </c>
      <c r="C33" s="4">
        <v>0.13600000000000001</v>
      </c>
      <c r="D33" s="14">
        <v>911</v>
      </c>
      <c r="E33" s="5">
        <v>910</v>
      </c>
      <c r="J33" s="7">
        <v>4</v>
      </c>
      <c r="K33" s="12">
        <v>2.7029999999999998</v>
      </c>
      <c r="L33" s="4">
        <v>6.9000000000000006E-2</v>
      </c>
      <c r="M33" s="14">
        <v>911</v>
      </c>
      <c r="N33" s="5">
        <v>360</v>
      </c>
      <c r="O33" s="28">
        <f t="shared" si="0"/>
        <v>39.520000000000003</v>
      </c>
    </row>
    <row r="34" spans="1:15" x14ac:dyDescent="0.25">
      <c r="A34" s="8"/>
      <c r="B34" s="12">
        <v>1.6970000000000001</v>
      </c>
      <c r="C34" s="4">
        <v>9.2999999999999999E-2</v>
      </c>
      <c r="D34" s="12">
        <v>658</v>
      </c>
      <c r="E34" s="5">
        <v>657</v>
      </c>
      <c r="J34" s="8"/>
      <c r="K34">
        <v>4.0030000000000001</v>
      </c>
      <c r="L34" s="4">
        <v>7.6999999999999999E-2</v>
      </c>
      <c r="M34" s="12">
        <v>658</v>
      </c>
      <c r="N34" s="5">
        <v>394</v>
      </c>
      <c r="O34" s="28">
        <f t="shared" si="0"/>
        <v>59.88</v>
      </c>
    </row>
    <row r="35" spans="1:15" x14ac:dyDescent="0.25">
      <c r="A35" s="8"/>
      <c r="B35" s="12">
        <v>1.1339999999999999</v>
      </c>
      <c r="C35" s="4">
        <v>6.5000000000000002E-2</v>
      </c>
      <c r="D35" s="12">
        <v>457</v>
      </c>
      <c r="E35" s="5">
        <v>456</v>
      </c>
      <c r="J35" s="8"/>
      <c r="K35" s="12">
        <v>1.133</v>
      </c>
      <c r="L35" s="4">
        <v>3.9E-2</v>
      </c>
      <c r="M35" s="12">
        <v>457</v>
      </c>
      <c r="N35" s="5">
        <v>195</v>
      </c>
      <c r="O35" s="28">
        <f t="shared" si="0"/>
        <v>42.67</v>
      </c>
    </row>
    <row r="36" spans="1:15" x14ac:dyDescent="0.25">
      <c r="A36" s="8"/>
      <c r="B36" s="12">
        <v>0.75700000000000001</v>
      </c>
      <c r="C36" s="4">
        <v>4.3999999999999997E-2</v>
      </c>
      <c r="D36" s="12">
        <v>302</v>
      </c>
      <c r="E36" s="5">
        <v>301</v>
      </c>
      <c r="J36" s="8"/>
      <c r="K36" s="12">
        <v>0.64500000000000002</v>
      </c>
      <c r="L36" s="4">
        <v>3.9E-2</v>
      </c>
      <c r="M36" s="12">
        <v>302</v>
      </c>
      <c r="N36" s="5">
        <v>178</v>
      </c>
      <c r="O36" s="28">
        <f t="shared" si="0"/>
        <v>58.94</v>
      </c>
    </row>
    <row r="37" spans="1:15" x14ac:dyDescent="0.25">
      <c r="A37" s="8"/>
      <c r="B37" s="12">
        <v>0.38800000000000001</v>
      </c>
      <c r="C37" s="4">
        <v>0.03</v>
      </c>
      <c r="D37" s="12">
        <v>187</v>
      </c>
      <c r="E37" s="5">
        <v>186</v>
      </c>
      <c r="J37" s="8"/>
      <c r="K37" s="12">
        <v>0.90300000000000002</v>
      </c>
      <c r="L37" s="4">
        <v>3.5999999999999997E-2</v>
      </c>
      <c r="M37" s="12">
        <v>187</v>
      </c>
      <c r="N37" s="5">
        <v>120</v>
      </c>
      <c r="O37" s="28">
        <f t="shared" si="0"/>
        <v>64.17</v>
      </c>
    </row>
    <row r="38" spans="1:15" x14ac:dyDescent="0.25">
      <c r="A38" s="8"/>
      <c r="B38" s="12">
        <v>0.2</v>
      </c>
      <c r="C38" s="4">
        <v>2.1000000000000001E-2</v>
      </c>
      <c r="D38" s="12">
        <v>106</v>
      </c>
      <c r="E38" s="5">
        <v>105</v>
      </c>
      <c r="J38" s="8"/>
      <c r="K38" s="12">
        <v>0.19400000000000001</v>
      </c>
      <c r="L38" s="4">
        <v>2.1999999999999999E-2</v>
      </c>
      <c r="M38" s="12">
        <v>106</v>
      </c>
      <c r="N38" s="5">
        <v>77</v>
      </c>
      <c r="O38" s="28">
        <f t="shared" si="0"/>
        <v>72.64</v>
      </c>
    </row>
    <row r="39" spans="1:15" x14ac:dyDescent="0.25">
      <c r="A39" s="8"/>
      <c r="B39" s="12">
        <v>0.11</v>
      </c>
      <c r="C39" s="4">
        <v>1.4E-2</v>
      </c>
      <c r="D39" s="12">
        <v>53</v>
      </c>
      <c r="E39" s="5">
        <v>52</v>
      </c>
      <c r="J39" s="8"/>
      <c r="K39" s="12">
        <v>0.106</v>
      </c>
      <c r="L39" s="4">
        <v>1.6E-2</v>
      </c>
      <c r="M39" s="12">
        <v>53</v>
      </c>
      <c r="N39" s="5">
        <v>42</v>
      </c>
      <c r="O39" s="28">
        <f t="shared" si="0"/>
        <v>79.25</v>
      </c>
    </row>
    <row r="40" spans="1:15" x14ac:dyDescent="0.25">
      <c r="A40" s="8"/>
      <c r="B40" s="12">
        <v>5.2999999999999999E-2</v>
      </c>
      <c r="C40" s="4">
        <v>0.01</v>
      </c>
      <c r="D40" s="12">
        <v>22</v>
      </c>
      <c r="E40" s="5">
        <v>21</v>
      </c>
      <c r="J40" s="8"/>
      <c r="K40" s="12">
        <v>4.1000000000000002E-2</v>
      </c>
      <c r="L40" s="4">
        <v>8.0000000000000002E-3</v>
      </c>
      <c r="M40" s="12">
        <v>22</v>
      </c>
      <c r="N40" s="5">
        <v>18</v>
      </c>
      <c r="O40" s="28">
        <f t="shared" si="0"/>
        <v>81.819999999999993</v>
      </c>
    </row>
    <row r="41" spans="1:15" x14ac:dyDescent="0.25">
      <c r="A41" s="8"/>
      <c r="B41" s="13">
        <v>1.7999999999999999E-2</v>
      </c>
      <c r="C41" s="4">
        <v>6.0000000000000001E-3</v>
      </c>
      <c r="D41" s="13">
        <v>5</v>
      </c>
      <c r="E41" s="5">
        <v>4</v>
      </c>
      <c r="J41" s="8"/>
      <c r="K41" s="13">
        <v>1.7999999999999999E-2</v>
      </c>
      <c r="L41" s="4">
        <v>4.0000000000000001E-3</v>
      </c>
      <c r="M41" s="13">
        <v>5</v>
      </c>
      <c r="N41" s="5">
        <v>4</v>
      </c>
      <c r="O41" s="28">
        <f t="shared" si="0"/>
        <v>80</v>
      </c>
    </row>
    <row r="42" spans="1:15" x14ac:dyDescent="0.25">
      <c r="A42" s="9"/>
      <c r="B42" s="35" t="s">
        <v>6</v>
      </c>
      <c r="C42" s="36"/>
      <c r="D42" s="36"/>
      <c r="E42" s="37"/>
      <c r="J42" s="9"/>
      <c r="K42" s="40" t="s">
        <v>10</v>
      </c>
      <c r="L42" s="41"/>
      <c r="M42" s="41"/>
      <c r="N42" s="42"/>
      <c r="O42" s="28"/>
    </row>
    <row r="43" spans="1:15" x14ac:dyDescent="0.25">
      <c r="A43" s="7">
        <v>5</v>
      </c>
      <c r="B43" s="14">
        <v>3.0710000000000002</v>
      </c>
      <c r="C43" s="4">
        <v>0.124</v>
      </c>
      <c r="D43" s="14">
        <v>911</v>
      </c>
      <c r="E43" s="5">
        <v>910</v>
      </c>
      <c r="J43" s="7">
        <v>5</v>
      </c>
      <c r="K43" s="14">
        <v>3.1120000000000001</v>
      </c>
      <c r="L43" s="4">
        <v>8.1000000000000003E-2</v>
      </c>
      <c r="M43" s="14">
        <v>911</v>
      </c>
      <c r="N43" s="5">
        <v>383</v>
      </c>
      <c r="O43" s="28">
        <f t="shared" si="0"/>
        <v>42.04</v>
      </c>
    </row>
    <row r="44" spans="1:15" x14ac:dyDescent="0.25">
      <c r="A44" s="8"/>
      <c r="B44" s="12">
        <v>1.8069999999999999</v>
      </c>
      <c r="C44" s="4">
        <v>8.6999999999999994E-2</v>
      </c>
      <c r="D44" s="12">
        <v>658</v>
      </c>
      <c r="E44" s="5">
        <v>657</v>
      </c>
      <c r="J44" s="8"/>
      <c r="K44" s="12">
        <v>1.627</v>
      </c>
      <c r="L44" s="4">
        <v>6.0999999999999999E-2</v>
      </c>
      <c r="M44" s="12">
        <v>658</v>
      </c>
      <c r="N44" s="5">
        <v>321</v>
      </c>
      <c r="O44" s="28">
        <f t="shared" si="0"/>
        <v>48.78</v>
      </c>
    </row>
    <row r="45" spans="1:15" x14ac:dyDescent="0.25">
      <c r="A45" s="8"/>
      <c r="B45" s="12">
        <v>1.1619999999999999</v>
      </c>
      <c r="C45" s="4">
        <v>6.5000000000000002E-2</v>
      </c>
      <c r="D45" s="12">
        <v>457</v>
      </c>
      <c r="E45" s="5">
        <v>456</v>
      </c>
      <c r="J45" s="8"/>
      <c r="K45" s="12">
        <v>1.1850000000000001</v>
      </c>
      <c r="L45" s="4">
        <v>5.0999999999999997E-2</v>
      </c>
      <c r="M45" s="12">
        <v>457</v>
      </c>
      <c r="N45" s="5">
        <v>258</v>
      </c>
      <c r="O45" s="28">
        <f t="shared" si="0"/>
        <v>56.46</v>
      </c>
    </row>
    <row r="46" spans="1:15" x14ac:dyDescent="0.25">
      <c r="A46" s="8"/>
      <c r="B46" s="12">
        <v>0.878</v>
      </c>
      <c r="C46" s="4">
        <v>4.5999999999999999E-2</v>
      </c>
      <c r="D46" s="12">
        <v>302</v>
      </c>
      <c r="E46" s="5">
        <v>301</v>
      </c>
      <c r="J46" s="8"/>
      <c r="K46" s="12">
        <v>0.80500000000000005</v>
      </c>
      <c r="L46" s="4">
        <v>5.8000000000000003E-2</v>
      </c>
      <c r="M46" s="12">
        <v>302</v>
      </c>
      <c r="N46" s="5">
        <v>191</v>
      </c>
      <c r="O46" s="28">
        <f t="shared" si="0"/>
        <v>63.25</v>
      </c>
    </row>
    <row r="47" spans="1:15" x14ac:dyDescent="0.25">
      <c r="A47" s="8"/>
      <c r="B47" s="12">
        <v>0.38500000000000001</v>
      </c>
      <c r="C47" s="4">
        <v>0.03</v>
      </c>
      <c r="D47" s="12">
        <v>187</v>
      </c>
      <c r="E47" s="5">
        <v>186</v>
      </c>
      <c r="J47" s="8"/>
      <c r="K47" s="12">
        <v>0.51700000000000002</v>
      </c>
      <c r="L47" s="4">
        <v>3.2000000000000001E-2</v>
      </c>
      <c r="M47" s="12">
        <v>187</v>
      </c>
      <c r="N47" s="5">
        <v>115</v>
      </c>
      <c r="O47" s="28">
        <f t="shared" si="0"/>
        <v>61.5</v>
      </c>
    </row>
    <row r="48" spans="1:15" x14ac:dyDescent="0.25">
      <c r="A48" s="8"/>
      <c r="B48" s="12">
        <v>0.36</v>
      </c>
      <c r="C48" s="4">
        <v>2.1000000000000001E-2</v>
      </c>
      <c r="D48" s="12">
        <v>106</v>
      </c>
      <c r="E48" s="5">
        <v>105</v>
      </c>
      <c r="J48" s="8"/>
      <c r="K48" s="12">
        <v>0.188</v>
      </c>
      <c r="L48" s="4">
        <v>2.1999999999999999E-2</v>
      </c>
      <c r="M48" s="12">
        <v>106</v>
      </c>
      <c r="N48" s="5">
        <v>83</v>
      </c>
      <c r="O48" s="28">
        <f t="shared" si="0"/>
        <v>78.3</v>
      </c>
    </row>
    <row r="49" spans="1:15" x14ac:dyDescent="0.25">
      <c r="A49" s="8"/>
      <c r="B49" s="12">
        <v>0.105</v>
      </c>
      <c r="C49" s="4">
        <v>1.4E-2</v>
      </c>
      <c r="D49" s="12">
        <v>53</v>
      </c>
      <c r="E49" s="5">
        <v>52</v>
      </c>
      <c r="J49" s="8"/>
      <c r="K49" s="12">
        <v>0.113</v>
      </c>
      <c r="L49" s="4">
        <v>1.7000000000000001E-2</v>
      </c>
      <c r="M49" s="12">
        <v>53</v>
      </c>
      <c r="N49" s="5">
        <v>45</v>
      </c>
      <c r="O49" s="28">
        <f t="shared" si="0"/>
        <v>84.91</v>
      </c>
    </row>
    <row r="50" spans="1:15" x14ac:dyDescent="0.25">
      <c r="A50" s="8"/>
      <c r="B50" s="12">
        <v>4.9000000000000002E-2</v>
      </c>
      <c r="C50" s="4">
        <v>8.9999999999999993E-3</v>
      </c>
      <c r="D50" s="12">
        <v>22</v>
      </c>
      <c r="E50" s="5">
        <v>21</v>
      </c>
      <c r="J50" s="8"/>
      <c r="K50" s="12">
        <v>4.5999999999999999E-2</v>
      </c>
      <c r="L50" s="4">
        <v>0.01</v>
      </c>
      <c r="M50" s="12">
        <v>22</v>
      </c>
      <c r="N50" s="5">
        <v>20</v>
      </c>
      <c r="O50" s="28">
        <f t="shared" si="0"/>
        <v>90.91</v>
      </c>
    </row>
    <row r="51" spans="1:15" x14ac:dyDescent="0.25">
      <c r="A51" s="8"/>
      <c r="B51" s="13">
        <v>2.1000000000000001E-2</v>
      </c>
      <c r="C51" s="4">
        <v>6.0000000000000001E-3</v>
      </c>
      <c r="D51" s="13">
        <v>5</v>
      </c>
      <c r="E51" s="5">
        <v>4</v>
      </c>
      <c r="J51" s="8"/>
      <c r="K51" s="13">
        <v>1.7000000000000001E-2</v>
      </c>
      <c r="L51" s="4">
        <v>5.0000000000000001E-3</v>
      </c>
      <c r="M51" s="13">
        <v>5</v>
      </c>
      <c r="N51" s="5">
        <v>4</v>
      </c>
      <c r="O51" s="28">
        <f t="shared" si="0"/>
        <v>80</v>
      </c>
    </row>
    <row r="52" spans="1:15" x14ac:dyDescent="0.25">
      <c r="A52" s="9"/>
      <c r="B52" s="40" t="s">
        <v>7</v>
      </c>
      <c r="C52" s="41"/>
      <c r="D52" s="41"/>
      <c r="E52" s="42"/>
      <c r="J52" s="9"/>
      <c r="K52" s="35" t="s">
        <v>11</v>
      </c>
      <c r="L52" s="36"/>
      <c r="M52" s="36"/>
      <c r="N52" s="37"/>
      <c r="O52" s="28"/>
    </row>
    <row r="53" spans="1:15" x14ac:dyDescent="0.25">
      <c r="A53" s="7">
        <v>6</v>
      </c>
      <c r="B53" s="14">
        <v>2.992</v>
      </c>
      <c r="C53" s="4">
        <v>0.128</v>
      </c>
      <c r="D53" s="14">
        <v>911</v>
      </c>
      <c r="E53" s="5">
        <v>910</v>
      </c>
      <c r="J53" s="7">
        <v>6</v>
      </c>
      <c r="K53" s="14">
        <v>2.7360000000000002</v>
      </c>
      <c r="L53" s="4">
        <v>0.107</v>
      </c>
      <c r="M53" s="14">
        <v>911</v>
      </c>
      <c r="N53" s="5">
        <v>565</v>
      </c>
      <c r="O53" s="28">
        <f t="shared" si="0"/>
        <v>62.02</v>
      </c>
    </row>
    <row r="54" spans="1:15" x14ac:dyDescent="0.25">
      <c r="A54" s="8"/>
      <c r="B54" s="12">
        <v>4.0730000000000004</v>
      </c>
      <c r="C54" s="4">
        <v>9.2999999999999999E-2</v>
      </c>
      <c r="D54" s="12">
        <v>658</v>
      </c>
      <c r="E54" s="5">
        <v>657</v>
      </c>
      <c r="J54" s="8"/>
      <c r="K54" s="12">
        <v>1.966</v>
      </c>
      <c r="L54" s="4">
        <v>6.3E-2</v>
      </c>
      <c r="M54" s="12">
        <v>658</v>
      </c>
      <c r="N54" s="5">
        <v>294</v>
      </c>
      <c r="O54" s="28">
        <f t="shared" si="0"/>
        <v>44.68</v>
      </c>
    </row>
    <row r="55" spans="1:15" x14ac:dyDescent="0.25">
      <c r="A55" s="8"/>
      <c r="B55" s="12">
        <v>1.1599999999999999</v>
      </c>
      <c r="C55" s="4">
        <v>6.5000000000000002E-2</v>
      </c>
      <c r="D55" s="12">
        <v>457</v>
      </c>
      <c r="E55" s="5">
        <v>456</v>
      </c>
      <c r="J55" s="8"/>
      <c r="K55" s="12">
        <v>3.843</v>
      </c>
      <c r="L55" s="4">
        <v>5.7000000000000002E-2</v>
      </c>
      <c r="M55" s="12">
        <v>457</v>
      </c>
      <c r="N55" s="5">
        <v>295</v>
      </c>
      <c r="O55" s="28">
        <f t="shared" si="0"/>
        <v>64.55</v>
      </c>
    </row>
    <row r="56" spans="1:15" x14ac:dyDescent="0.25">
      <c r="A56" s="8"/>
      <c r="B56" s="12">
        <v>0.754</v>
      </c>
      <c r="C56" s="4">
        <v>5.0999999999999997E-2</v>
      </c>
      <c r="D56" s="12">
        <v>302</v>
      </c>
      <c r="E56" s="5">
        <v>301</v>
      </c>
      <c r="J56" s="8"/>
      <c r="K56" s="12">
        <v>0.751</v>
      </c>
      <c r="L56" s="4">
        <v>4.2000000000000003E-2</v>
      </c>
      <c r="M56" s="12">
        <v>302</v>
      </c>
      <c r="N56" s="5">
        <v>201</v>
      </c>
      <c r="O56" s="28">
        <f t="shared" si="0"/>
        <v>66.56</v>
      </c>
    </row>
    <row r="57" spans="1:15" x14ac:dyDescent="0.25">
      <c r="A57" s="8"/>
      <c r="B57" s="12">
        <v>0.56999999999999995</v>
      </c>
      <c r="C57" s="4">
        <v>2.9000000000000001E-2</v>
      </c>
      <c r="D57" s="12">
        <v>187</v>
      </c>
      <c r="E57" s="5">
        <v>186</v>
      </c>
      <c r="J57" s="8"/>
      <c r="K57" s="12">
        <v>0.38500000000000001</v>
      </c>
      <c r="L57" s="4">
        <v>3.2000000000000001E-2</v>
      </c>
      <c r="M57" s="12">
        <v>187</v>
      </c>
      <c r="N57" s="5">
        <v>138</v>
      </c>
      <c r="O57" s="28">
        <f t="shared" si="0"/>
        <v>73.8</v>
      </c>
    </row>
    <row r="58" spans="1:15" x14ac:dyDescent="0.25">
      <c r="A58" s="8"/>
      <c r="B58" s="12">
        <v>0.24299999999999999</v>
      </c>
      <c r="C58" s="4">
        <v>2.3E-2</v>
      </c>
      <c r="D58" s="12">
        <v>106</v>
      </c>
      <c r="E58" s="5">
        <v>105</v>
      </c>
      <c r="J58" s="8"/>
      <c r="K58" s="12">
        <v>0.34300000000000003</v>
      </c>
      <c r="L58" s="4">
        <v>2.3E-2</v>
      </c>
      <c r="M58" s="12">
        <v>106</v>
      </c>
      <c r="N58" s="5">
        <v>83</v>
      </c>
      <c r="O58" s="28">
        <f t="shared" si="0"/>
        <v>78.3</v>
      </c>
    </row>
    <row r="59" spans="1:15" x14ac:dyDescent="0.25">
      <c r="A59" s="8"/>
      <c r="B59" s="12">
        <v>0.104</v>
      </c>
      <c r="C59" s="4">
        <v>1.4E-2</v>
      </c>
      <c r="D59" s="12">
        <v>53</v>
      </c>
      <c r="E59" s="5">
        <v>52</v>
      </c>
      <c r="J59" s="8"/>
      <c r="K59" s="12">
        <v>0.10100000000000001</v>
      </c>
      <c r="L59" s="4">
        <v>1.6E-2</v>
      </c>
      <c r="M59" s="12">
        <v>53</v>
      </c>
      <c r="N59" s="5">
        <v>47</v>
      </c>
      <c r="O59" s="28">
        <f t="shared" si="0"/>
        <v>88.68</v>
      </c>
    </row>
    <row r="60" spans="1:15" x14ac:dyDescent="0.25">
      <c r="A60" s="8"/>
      <c r="B60" s="12">
        <v>0.05</v>
      </c>
      <c r="C60" s="4">
        <v>0.01</v>
      </c>
      <c r="D60" s="12">
        <v>22</v>
      </c>
      <c r="E60" s="5">
        <v>21</v>
      </c>
      <c r="J60" s="8"/>
      <c r="K60" s="12">
        <v>5.2999999999999999E-2</v>
      </c>
      <c r="L60" s="4">
        <v>1.0999999999999999E-2</v>
      </c>
      <c r="M60" s="12">
        <v>22</v>
      </c>
      <c r="N60" s="5">
        <v>20</v>
      </c>
      <c r="O60" s="28">
        <f t="shared" si="0"/>
        <v>90.91</v>
      </c>
    </row>
    <row r="61" spans="1:15" x14ac:dyDescent="0.25">
      <c r="A61" s="8"/>
      <c r="B61" s="13">
        <v>1.7999999999999999E-2</v>
      </c>
      <c r="C61" s="4">
        <v>5.0000000000000001E-3</v>
      </c>
      <c r="D61" s="13">
        <v>5</v>
      </c>
      <c r="E61" s="5">
        <v>4</v>
      </c>
      <c r="J61" s="8"/>
      <c r="K61" s="13">
        <v>1.7999999999999999E-2</v>
      </c>
      <c r="L61" s="4">
        <v>4.0000000000000001E-3</v>
      </c>
      <c r="M61" s="13">
        <v>5</v>
      </c>
      <c r="N61" s="5">
        <v>4</v>
      </c>
      <c r="O61" s="28">
        <f t="shared" si="0"/>
        <v>80</v>
      </c>
    </row>
    <row r="62" spans="1:15" x14ac:dyDescent="0.25">
      <c r="A62" s="9"/>
      <c r="B62" s="35" t="s">
        <v>6</v>
      </c>
      <c r="C62" s="36"/>
      <c r="D62" s="36"/>
      <c r="E62" s="37"/>
      <c r="J62" s="9"/>
      <c r="K62" s="35" t="s">
        <v>11</v>
      </c>
      <c r="L62" s="36"/>
      <c r="M62" s="36"/>
      <c r="N62" s="37"/>
      <c r="O62" s="28"/>
    </row>
    <row r="63" spans="1:15" x14ac:dyDescent="0.25">
      <c r="A63" s="7">
        <v>7</v>
      </c>
      <c r="B63" s="14">
        <v>2.7930000000000001</v>
      </c>
      <c r="C63" s="4">
        <v>0.123</v>
      </c>
      <c r="D63" s="14">
        <v>911</v>
      </c>
      <c r="E63" s="5">
        <v>910</v>
      </c>
      <c r="J63" s="7">
        <v>7</v>
      </c>
      <c r="K63" s="14">
        <v>2.7559999999999998</v>
      </c>
      <c r="L63" s="4">
        <v>0.11799999999999999</v>
      </c>
      <c r="M63" s="14">
        <v>911</v>
      </c>
      <c r="N63" s="5">
        <v>499</v>
      </c>
      <c r="O63" s="28">
        <f t="shared" si="0"/>
        <v>54.77</v>
      </c>
    </row>
    <row r="64" spans="1:15" x14ac:dyDescent="0.25">
      <c r="A64" s="8"/>
      <c r="B64" s="12">
        <v>2.391</v>
      </c>
      <c r="C64" s="4">
        <v>0.13500000000000001</v>
      </c>
      <c r="D64" s="12">
        <v>658</v>
      </c>
      <c r="E64" s="5">
        <v>657</v>
      </c>
      <c r="J64" s="8"/>
      <c r="K64" s="12">
        <v>1.9390000000000001</v>
      </c>
      <c r="L64" s="4">
        <v>6.4000000000000001E-2</v>
      </c>
      <c r="M64" s="12">
        <v>658</v>
      </c>
      <c r="N64" s="5">
        <v>305</v>
      </c>
      <c r="O64" s="28">
        <f t="shared" si="0"/>
        <v>46.35</v>
      </c>
    </row>
    <row r="65" spans="1:15" x14ac:dyDescent="0.25">
      <c r="A65" s="8"/>
      <c r="B65" s="12">
        <v>1.1739999999999999</v>
      </c>
      <c r="C65" s="4">
        <v>6.8000000000000005E-2</v>
      </c>
      <c r="D65" s="12">
        <v>457</v>
      </c>
      <c r="E65" s="5">
        <v>456</v>
      </c>
      <c r="J65" s="8"/>
      <c r="K65" s="12">
        <v>1.194</v>
      </c>
      <c r="L65" s="4">
        <v>4.7E-2</v>
      </c>
      <c r="M65" s="12">
        <v>457</v>
      </c>
      <c r="N65" s="5">
        <v>224</v>
      </c>
      <c r="O65" s="28">
        <f t="shared" si="0"/>
        <v>49.02</v>
      </c>
    </row>
    <row r="66" spans="1:15" x14ac:dyDescent="0.25">
      <c r="A66" s="8"/>
      <c r="B66" s="12">
        <v>0.84499999999999997</v>
      </c>
      <c r="C66" s="4">
        <v>5.1999999999999998E-2</v>
      </c>
      <c r="D66" s="12">
        <v>302</v>
      </c>
      <c r="E66" s="5">
        <v>301</v>
      </c>
      <c r="J66" s="8"/>
      <c r="K66" s="12">
        <v>0.63800000000000001</v>
      </c>
      <c r="L66" s="4">
        <v>4.3999999999999997E-2</v>
      </c>
      <c r="M66" s="12">
        <v>302</v>
      </c>
      <c r="N66" s="5">
        <v>224</v>
      </c>
      <c r="O66" s="28">
        <f t="shared" si="0"/>
        <v>74.17</v>
      </c>
    </row>
    <row r="67" spans="1:15" x14ac:dyDescent="0.25">
      <c r="A67" s="8"/>
      <c r="B67" s="12">
        <v>0.40300000000000002</v>
      </c>
      <c r="C67" s="4">
        <v>3.1E-2</v>
      </c>
      <c r="D67" s="12">
        <v>187</v>
      </c>
      <c r="E67" s="5">
        <v>186</v>
      </c>
      <c r="J67" s="8"/>
      <c r="K67" s="12">
        <v>0.55500000000000005</v>
      </c>
      <c r="L67" s="4">
        <v>2.5999999999999999E-2</v>
      </c>
      <c r="M67" s="12">
        <v>187</v>
      </c>
      <c r="N67" s="5">
        <v>113</v>
      </c>
      <c r="O67" s="28">
        <f t="shared" si="0"/>
        <v>60.43</v>
      </c>
    </row>
    <row r="68" spans="1:15" x14ac:dyDescent="0.25">
      <c r="A68" s="8"/>
      <c r="B68" s="12">
        <v>0.20899999999999999</v>
      </c>
      <c r="C68" s="4">
        <v>2.1999999999999999E-2</v>
      </c>
      <c r="D68" s="12">
        <v>106</v>
      </c>
      <c r="E68" s="5">
        <v>105</v>
      </c>
      <c r="J68" s="8"/>
      <c r="K68" s="12">
        <v>0.23200000000000001</v>
      </c>
      <c r="L68" s="4">
        <v>2.1999999999999999E-2</v>
      </c>
      <c r="M68" s="12">
        <v>106</v>
      </c>
      <c r="N68" s="5">
        <v>83</v>
      </c>
      <c r="O68" s="28">
        <f t="shared" ref="O68:O101" si="1">ROUND(N68/M68*100,2)</f>
        <v>78.3</v>
      </c>
    </row>
    <row r="69" spans="1:15" x14ac:dyDescent="0.25">
      <c r="A69" s="8"/>
      <c r="B69" s="12">
        <v>0.107</v>
      </c>
      <c r="C69" s="4">
        <v>1.6E-2</v>
      </c>
      <c r="D69" s="12">
        <v>53</v>
      </c>
      <c r="E69" s="5">
        <v>52</v>
      </c>
      <c r="J69" s="8"/>
      <c r="K69" s="12">
        <v>0.24099999999999999</v>
      </c>
      <c r="L69" s="4">
        <v>1.6E-2</v>
      </c>
      <c r="M69" s="12">
        <v>53</v>
      </c>
      <c r="N69" s="5">
        <v>38</v>
      </c>
      <c r="O69" s="28">
        <f t="shared" si="1"/>
        <v>71.7</v>
      </c>
    </row>
    <row r="70" spans="1:15" x14ac:dyDescent="0.25">
      <c r="A70" s="8"/>
      <c r="B70" s="12">
        <v>5.0999999999999997E-2</v>
      </c>
      <c r="C70" s="4">
        <v>8.9999999999999993E-3</v>
      </c>
      <c r="D70" s="12">
        <v>22</v>
      </c>
      <c r="E70" s="5">
        <v>21</v>
      </c>
      <c r="J70" s="8"/>
      <c r="K70" s="12">
        <v>4.4999999999999998E-2</v>
      </c>
      <c r="L70" s="4">
        <v>0.01</v>
      </c>
      <c r="M70" s="12">
        <v>22</v>
      </c>
      <c r="N70" s="5">
        <v>19</v>
      </c>
      <c r="O70" s="28">
        <f t="shared" si="1"/>
        <v>86.36</v>
      </c>
    </row>
    <row r="71" spans="1:15" x14ac:dyDescent="0.25">
      <c r="A71" s="8"/>
      <c r="B71" s="13">
        <v>2.1000000000000001E-2</v>
      </c>
      <c r="C71" s="4">
        <v>7.0000000000000001E-3</v>
      </c>
      <c r="D71" s="13">
        <v>5</v>
      </c>
      <c r="E71" s="5">
        <v>4</v>
      </c>
      <c r="J71" s="8"/>
      <c r="K71" s="13">
        <v>1.7999999999999999E-2</v>
      </c>
      <c r="L71" s="4">
        <v>5.0000000000000001E-3</v>
      </c>
      <c r="M71" s="13">
        <v>5</v>
      </c>
      <c r="N71" s="5">
        <v>4</v>
      </c>
      <c r="O71" s="28">
        <f t="shared" si="1"/>
        <v>80</v>
      </c>
    </row>
    <row r="72" spans="1:15" x14ac:dyDescent="0.25">
      <c r="A72" s="9"/>
      <c r="B72" s="40" t="s">
        <v>7</v>
      </c>
      <c r="C72" s="41"/>
      <c r="D72" s="41"/>
      <c r="E72" s="42"/>
      <c r="J72" s="9"/>
      <c r="K72" s="35" t="s">
        <v>11</v>
      </c>
      <c r="L72" s="36"/>
      <c r="M72" s="36"/>
      <c r="N72" s="37"/>
      <c r="O72" s="28"/>
    </row>
    <row r="73" spans="1:15" x14ac:dyDescent="0.25">
      <c r="A73" s="7">
        <v>8</v>
      </c>
      <c r="B73" s="14">
        <v>2.778</v>
      </c>
      <c r="C73" s="4">
        <v>0.14000000000000001</v>
      </c>
      <c r="D73" s="14">
        <v>911</v>
      </c>
      <c r="E73" s="5">
        <v>910</v>
      </c>
      <c r="J73" s="7">
        <v>8</v>
      </c>
      <c r="K73" s="14">
        <v>2.7589999999999999</v>
      </c>
      <c r="L73" s="4">
        <v>8.1000000000000003E-2</v>
      </c>
      <c r="M73" s="14">
        <v>911</v>
      </c>
      <c r="N73" s="5">
        <v>378</v>
      </c>
      <c r="O73" s="28">
        <f t="shared" si="1"/>
        <v>41.49</v>
      </c>
    </row>
    <row r="74" spans="1:15" x14ac:dyDescent="0.25">
      <c r="A74" s="8"/>
      <c r="B74" s="12">
        <v>1.734</v>
      </c>
      <c r="C74" s="4">
        <v>9.0999999999999998E-2</v>
      </c>
      <c r="D74" s="12">
        <v>658</v>
      </c>
      <c r="E74" s="5">
        <v>657</v>
      </c>
      <c r="J74" s="8"/>
      <c r="K74" s="12">
        <v>1.67</v>
      </c>
      <c r="L74" s="4">
        <v>7.3999999999999996E-2</v>
      </c>
      <c r="M74" s="12">
        <v>658</v>
      </c>
      <c r="N74" s="5">
        <v>375</v>
      </c>
      <c r="O74" s="28">
        <f t="shared" si="1"/>
        <v>56.99</v>
      </c>
    </row>
    <row r="75" spans="1:15" x14ac:dyDescent="0.25">
      <c r="A75" s="8"/>
      <c r="B75" s="12">
        <v>3.8540000000000001</v>
      </c>
      <c r="C75" s="4">
        <v>6.7000000000000004E-2</v>
      </c>
      <c r="D75" s="12">
        <v>457</v>
      </c>
      <c r="E75" s="5">
        <v>456</v>
      </c>
      <c r="J75" s="8"/>
      <c r="K75" s="12">
        <v>1.3129999999999999</v>
      </c>
      <c r="L75" s="4">
        <v>5.7000000000000002E-2</v>
      </c>
      <c r="M75" s="12">
        <v>457</v>
      </c>
      <c r="N75" s="5">
        <v>273</v>
      </c>
      <c r="O75" s="28">
        <f t="shared" si="1"/>
        <v>59.74</v>
      </c>
    </row>
    <row r="76" spans="1:15" x14ac:dyDescent="0.25">
      <c r="A76" s="8"/>
      <c r="B76" s="12">
        <v>0.81599999999999995</v>
      </c>
      <c r="C76" s="4">
        <v>4.3999999999999997E-2</v>
      </c>
      <c r="D76" s="12">
        <v>302</v>
      </c>
      <c r="E76" s="5">
        <v>301</v>
      </c>
      <c r="J76" s="8"/>
      <c r="K76" s="12">
        <v>3.4529999999999998</v>
      </c>
      <c r="L76" s="4">
        <v>4.4999999999999998E-2</v>
      </c>
      <c r="M76" s="12">
        <v>302</v>
      </c>
      <c r="N76" s="5">
        <v>197</v>
      </c>
      <c r="O76" s="28">
        <f t="shared" si="1"/>
        <v>65.23</v>
      </c>
    </row>
    <row r="77" spans="1:15" x14ac:dyDescent="0.25">
      <c r="A77" s="8"/>
      <c r="B77" s="12">
        <v>0.38600000000000001</v>
      </c>
      <c r="C77" s="4">
        <v>0.03</v>
      </c>
      <c r="D77" s="12">
        <v>187</v>
      </c>
      <c r="E77" s="5">
        <v>186</v>
      </c>
      <c r="J77" s="8"/>
      <c r="K77" s="12">
        <v>0.38400000000000001</v>
      </c>
      <c r="L77" s="4">
        <v>2.5999999999999999E-2</v>
      </c>
      <c r="M77" s="12">
        <v>187</v>
      </c>
      <c r="N77" s="5">
        <v>107</v>
      </c>
      <c r="O77" s="28">
        <f t="shared" si="1"/>
        <v>57.22</v>
      </c>
    </row>
    <row r="78" spans="1:15" x14ac:dyDescent="0.25">
      <c r="A78" s="8"/>
      <c r="B78" s="12">
        <v>0.33600000000000002</v>
      </c>
      <c r="C78" s="4">
        <v>2.1000000000000001E-2</v>
      </c>
      <c r="D78" s="12">
        <v>106</v>
      </c>
      <c r="E78" s="5">
        <v>105</v>
      </c>
      <c r="J78" s="8"/>
      <c r="K78" s="12">
        <v>0.20200000000000001</v>
      </c>
      <c r="L78" s="4">
        <v>2.5000000000000001E-2</v>
      </c>
      <c r="M78" s="12">
        <v>106</v>
      </c>
      <c r="N78" s="5">
        <v>84</v>
      </c>
      <c r="O78" s="28">
        <f t="shared" si="1"/>
        <v>79.25</v>
      </c>
    </row>
    <row r="79" spans="1:15" x14ac:dyDescent="0.25">
      <c r="A79" s="8"/>
      <c r="B79" s="12">
        <v>9.7000000000000003E-2</v>
      </c>
      <c r="C79" s="4">
        <v>1.4999999999999999E-2</v>
      </c>
      <c r="D79" s="12">
        <v>53</v>
      </c>
      <c r="E79" s="5">
        <v>52</v>
      </c>
      <c r="J79" s="8"/>
      <c r="K79" s="12">
        <v>0.104</v>
      </c>
      <c r="L79" s="4">
        <v>1.4E-2</v>
      </c>
      <c r="M79" s="12">
        <v>53</v>
      </c>
      <c r="N79" s="5">
        <v>40</v>
      </c>
      <c r="O79" s="28">
        <f t="shared" si="1"/>
        <v>75.47</v>
      </c>
    </row>
    <row r="80" spans="1:15" x14ac:dyDescent="0.25">
      <c r="A80" s="8"/>
      <c r="B80" s="12">
        <v>4.8000000000000001E-2</v>
      </c>
      <c r="C80" s="4">
        <v>0.01</v>
      </c>
      <c r="D80" s="12">
        <v>22</v>
      </c>
      <c r="E80" s="5">
        <v>21</v>
      </c>
      <c r="J80" s="8"/>
      <c r="K80" s="12">
        <v>5.0999999999999997E-2</v>
      </c>
      <c r="L80" s="4">
        <v>0.01</v>
      </c>
      <c r="M80" s="12">
        <v>22</v>
      </c>
      <c r="N80" s="5">
        <v>18</v>
      </c>
      <c r="O80" s="28">
        <f t="shared" si="1"/>
        <v>81.819999999999993</v>
      </c>
    </row>
    <row r="81" spans="1:15" x14ac:dyDescent="0.25">
      <c r="A81" s="8"/>
      <c r="B81" s="13">
        <v>1.4999999999999999E-2</v>
      </c>
      <c r="C81" s="4">
        <v>6.0000000000000001E-3</v>
      </c>
      <c r="D81" s="13">
        <v>5</v>
      </c>
      <c r="E81" s="5">
        <v>4</v>
      </c>
      <c r="J81" s="8"/>
      <c r="K81" s="13">
        <v>1.9E-2</v>
      </c>
      <c r="L81" s="4">
        <v>4.0000000000000001E-3</v>
      </c>
      <c r="M81" s="13">
        <v>5</v>
      </c>
      <c r="N81" s="5">
        <v>4</v>
      </c>
      <c r="O81" s="28">
        <f t="shared" si="1"/>
        <v>80</v>
      </c>
    </row>
    <row r="82" spans="1:15" x14ac:dyDescent="0.25">
      <c r="A82" s="9"/>
      <c r="B82" s="35" t="s">
        <v>6</v>
      </c>
      <c r="C82" s="36"/>
      <c r="D82" s="36"/>
      <c r="E82" s="37"/>
      <c r="J82" s="9"/>
      <c r="K82" s="40" t="s">
        <v>10</v>
      </c>
      <c r="L82" s="41"/>
      <c r="M82" s="41"/>
      <c r="N82" s="42"/>
      <c r="O82" s="28"/>
    </row>
    <row r="83" spans="1:15" x14ac:dyDescent="0.25">
      <c r="A83" s="7">
        <v>9</v>
      </c>
      <c r="B83" s="14">
        <v>2.5960000000000001</v>
      </c>
      <c r="C83" s="4">
        <v>0.124</v>
      </c>
      <c r="D83" s="14">
        <v>911</v>
      </c>
      <c r="E83" s="5">
        <v>910</v>
      </c>
      <c r="J83" s="7">
        <v>9</v>
      </c>
      <c r="K83" s="14">
        <v>2.948</v>
      </c>
      <c r="L83" s="4">
        <v>7.9000000000000001E-2</v>
      </c>
      <c r="M83" s="14">
        <v>911</v>
      </c>
      <c r="N83" s="5">
        <v>343</v>
      </c>
      <c r="O83" s="28">
        <f t="shared" si="1"/>
        <v>37.65</v>
      </c>
    </row>
    <row r="84" spans="1:15" x14ac:dyDescent="0.25">
      <c r="A84" s="8"/>
      <c r="B84" s="12">
        <v>2.1880000000000002</v>
      </c>
      <c r="C84" s="4">
        <v>9.1999999999999998E-2</v>
      </c>
      <c r="D84" s="12">
        <v>658</v>
      </c>
      <c r="E84" s="5">
        <v>657</v>
      </c>
      <c r="J84" s="8"/>
      <c r="K84" s="12">
        <v>1.659</v>
      </c>
      <c r="L84" s="4">
        <v>6.9000000000000006E-2</v>
      </c>
      <c r="M84" s="12">
        <v>658</v>
      </c>
      <c r="N84" s="5">
        <v>327</v>
      </c>
      <c r="O84" s="28">
        <f t="shared" si="1"/>
        <v>49.7</v>
      </c>
    </row>
    <row r="85" spans="1:15" x14ac:dyDescent="0.25">
      <c r="A85" s="8"/>
      <c r="B85" s="12">
        <v>1.1819999999999999</v>
      </c>
      <c r="C85" s="4">
        <v>6.5000000000000002E-2</v>
      </c>
      <c r="D85" s="12">
        <v>457</v>
      </c>
      <c r="E85" s="5">
        <v>456</v>
      </c>
      <c r="J85" s="8"/>
      <c r="K85" s="12">
        <v>1.19</v>
      </c>
      <c r="L85" s="4">
        <v>4.7E-2</v>
      </c>
      <c r="M85" s="12">
        <v>457</v>
      </c>
      <c r="N85" s="5">
        <v>243</v>
      </c>
      <c r="O85" s="28">
        <f t="shared" si="1"/>
        <v>53.17</v>
      </c>
    </row>
    <row r="86" spans="1:15" x14ac:dyDescent="0.25">
      <c r="A86" s="8"/>
      <c r="B86" s="12">
        <v>0.66100000000000003</v>
      </c>
      <c r="C86" s="4">
        <v>4.2000000000000003E-2</v>
      </c>
      <c r="D86" s="12">
        <v>302</v>
      </c>
      <c r="E86" s="5">
        <v>301</v>
      </c>
      <c r="J86" s="8"/>
      <c r="K86" s="12">
        <v>0.77100000000000002</v>
      </c>
      <c r="L86" s="4">
        <v>3.2000000000000001E-2</v>
      </c>
      <c r="M86" s="12">
        <v>302</v>
      </c>
      <c r="N86" s="5">
        <v>148</v>
      </c>
      <c r="O86" s="28">
        <f t="shared" si="1"/>
        <v>49.01</v>
      </c>
    </row>
    <row r="87" spans="1:15" x14ac:dyDescent="0.25">
      <c r="A87" s="8"/>
      <c r="B87" s="12">
        <v>0.55600000000000005</v>
      </c>
      <c r="C87" s="4">
        <v>0.03</v>
      </c>
      <c r="D87" s="12">
        <v>187</v>
      </c>
      <c r="E87" s="5">
        <v>186</v>
      </c>
      <c r="J87" s="8"/>
      <c r="K87" s="12">
        <v>0.38700000000000001</v>
      </c>
      <c r="L87" s="4">
        <v>2.7E-2</v>
      </c>
      <c r="M87" s="12">
        <v>187</v>
      </c>
      <c r="N87" s="5">
        <v>124</v>
      </c>
      <c r="O87" s="28">
        <f t="shared" si="1"/>
        <v>66.31</v>
      </c>
    </row>
    <row r="88" spans="1:15" x14ac:dyDescent="0.25">
      <c r="A88" s="8"/>
      <c r="B88" s="12">
        <v>0.21299999999999999</v>
      </c>
      <c r="C88" s="4">
        <v>2.1000000000000001E-2</v>
      </c>
      <c r="D88" s="12">
        <v>106</v>
      </c>
      <c r="E88" s="5">
        <v>105</v>
      </c>
      <c r="J88" s="8"/>
      <c r="K88" s="12">
        <v>0.19500000000000001</v>
      </c>
      <c r="L88" s="4">
        <v>2.1000000000000001E-2</v>
      </c>
      <c r="M88" s="12">
        <v>106</v>
      </c>
      <c r="N88" s="5">
        <v>72</v>
      </c>
      <c r="O88" s="28">
        <f t="shared" si="1"/>
        <v>67.92</v>
      </c>
    </row>
    <row r="89" spans="1:15" x14ac:dyDescent="0.25">
      <c r="A89" s="8"/>
      <c r="B89" s="12">
        <v>0.121</v>
      </c>
      <c r="C89" s="4">
        <v>1.4999999999999999E-2</v>
      </c>
      <c r="D89" s="12">
        <v>53</v>
      </c>
      <c r="E89" s="5">
        <v>52</v>
      </c>
      <c r="J89" s="8"/>
      <c r="K89" s="12">
        <v>0.26800000000000002</v>
      </c>
      <c r="L89" s="4">
        <v>1.4999999999999999E-2</v>
      </c>
      <c r="M89" s="12">
        <v>53</v>
      </c>
      <c r="N89" s="5">
        <v>43</v>
      </c>
      <c r="O89" s="28">
        <f t="shared" si="1"/>
        <v>81.13</v>
      </c>
    </row>
    <row r="90" spans="1:15" x14ac:dyDescent="0.25">
      <c r="A90" s="8"/>
      <c r="B90" s="12">
        <v>4.4999999999999998E-2</v>
      </c>
      <c r="C90" s="4">
        <v>8.9999999999999993E-3</v>
      </c>
      <c r="D90" s="12">
        <v>22</v>
      </c>
      <c r="E90" s="5">
        <v>21</v>
      </c>
      <c r="J90" s="8"/>
      <c r="K90" s="12">
        <v>4.7E-2</v>
      </c>
      <c r="L90" s="4">
        <v>8.9999999999999993E-3</v>
      </c>
      <c r="M90" s="12">
        <v>22</v>
      </c>
      <c r="N90" s="5">
        <v>18</v>
      </c>
      <c r="O90" s="28">
        <f t="shared" si="1"/>
        <v>81.819999999999993</v>
      </c>
    </row>
    <row r="91" spans="1:15" x14ac:dyDescent="0.25">
      <c r="A91" s="8"/>
      <c r="B91" s="13">
        <v>1.7999999999999999E-2</v>
      </c>
      <c r="C91" s="4">
        <v>6.0000000000000001E-3</v>
      </c>
      <c r="D91" s="13">
        <v>5</v>
      </c>
      <c r="E91" s="5">
        <v>4</v>
      </c>
      <c r="J91" s="8"/>
      <c r="K91" s="13">
        <v>2.1000000000000001E-2</v>
      </c>
      <c r="L91" s="4">
        <v>5.0000000000000001E-3</v>
      </c>
      <c r="M91" s="13">
        <v>5</v>
      </c>
      <c r="N91" s="5">
        <v>4</v>
      </c>
      <c r="O91" s="28">
        <f t="shared" si="1"/>
        <v>80</v>
      </c>
    </row>
    <row r="92" spans="1:15" x14ac:dyDescent="0.25">
      <c r="A92" s="9"/>
      <c r="B92" s="40" t="s">
        <v>7</v>
      </c>
      <c r="C92" s="41"/>
      <c r="D92" s="41"/>
      <c r="E92" s="42"/>
      <c r="J92" s="9"/>
      <c r="K92" s="40" t="s">
        <v>10</v>
      </c>
      <c r="L92" s="41"/>
      <c r="M92" s="41"/>
      <c r="N92" s="42"/>
      <c r="O92" s="28"/>
    </row>
    <row r="93" spans="1:15" x14ac:dyDescent="0.25">
      <c r="A93" s="7">
        <v>10</v>
      </c>
      <c r="B93" s="14">
        <v>2.77</v>
      </c>
      <c r="C93" s="4">
        <v>0.127</v>
      </c>
      <c r="D93" s="14">
        <v>911</v>
      </c>
      <c r="E93" s="5">
        <v>910</v>
      </c>
      <c r="J93" s="7">
        <v>10</v>
      </c>
      <c r="K93" s="14">
        <v>2.62</v>
      </c>
      <c r="L93" s="4">
        <v>7.4999999999999997E-2</v>
      </c>
      <c r="M93" s="14">
        <v>911</v>
      </c>
      <c r="N93" s="5">
        <v>380</v>
      </c>
      <c r="O93" s="28">
        <f t="shared" si="1"/>
        <v>41.71</v>
      </c>
    </row>
    <row r="94" spans="1:15" x14ac:dyDescent="0.25">
      <c r="A94" s="8"/>
      <c r="B94" s="12">
        <v>1.72</v>
      </c>
      <c r="C94" s="4">
        <v>8.8999999999999996E-2</v>
      </c>
      <c r="D94" s="12">
        <v>658</v>
      </c>
      <c r="E94" s="5">
        <v>657</v>
      </c>
      <c r="J94" s="8"/>
      <c r="K94" s="12">
        <v>1.712</v>
      </c>
      <c r="L94" s="4">
        <v>6.0999999999999999E-2</v>
      </c>
      <c r="M94" s="12">
        <v>658</v>
      </c>
      <c r="N94" s="5">
        <v>298</v>
      </c>
      <c r="O94" s="28">
        <f t="shared" si="1"/>
        <v>45.29</v>
      </c>
    </row>
    <row r="95" spans="1:15" x14ac:dyDescent="0.25">
      <c r="A95" s="8"/>
      <c r="B95" s="12">
        <v>1.2070000000000001</v>
      </c>
      <c r="C95" s="4">
        <v>6.3E-2</v>
      </c>
      <c r="D95" s="12">
        <v>457</v>
      </c>
      <c r="E95" s="5">
        <v>456</v>
      </c>
      <c r="J95" s="8"/>
      <c r="K95" s="12">
        <v>1.1399999999999999</v>
      </c>
      <c r="L95" s="4">
        <v>4.8000000000000001E-2</v>
      </c>
      <c r="M95" s="12">
        <v>457</v>
      </c>
      <c r="N95" s="5">
        <v>224</v>
      </c>
      <c r="O95" s="28">
        <f t="shared" si="1"/>
        <v>49.02</v>
      </c>
    </row>
    <row r="96" spans="1:15" x14ac:dyDescent="0.25">
      <c r="A96" s="8"/>
      <c r="B96" s="12">
        <v>3.8140000000000001</v>
      </c>
      <c r="C96" s="4">
        <v>4.5999999999999999E-2</v>
      </c>
      <c r="D96" s="12">
        <v>302</v>
      </c>
      <c r="E96" s="5">
        <v>301</v>
      </c>
      <c r="J96" s="8"/>
      <c r="K96" s="12">
        <v>0.67600000000000005</v>
      </c>
      <c r="L96" s="4">
        <v>4.1000000000000002E-2</v>
      </c>
      <c r="M96" s="12">
        <v>302</v>
      </c>
      <c r="N96" s="5">
        <v>187</v>
      </c>
      <c r="O96" s="28">
        <f t="shared" si="1"/>
        <v>61.92</v>
      </c>
    </row>
    <row r="97" spans="1:15" x14ac:dyDescent="0.25">
      <c r="A97" s="8"/>
      <c r="B97" s="12">
        <v>0.38300000000000001</v>
      </c>
      <c r="C97" s="4">
        <v>2.9000000000000001E-2</v>
      </c>
      <c r="D97" s="12">
        <v>187</v>
      </c>
      <c r="E97" s="5">
        <v>186</v>
      </c>
      <c r="J97" s="8"/>
      <c r="K97" s="12">
        <v>0.60199999999999998</v>
      </c>
      <c r="L97" s="4">
        <v>0.03</v>
      </c>
      <c r="M97" s="12">
        <v>187</v>
      </c>
      <c r="N97" s="5">
        <v>119</v>
      </c>
      <c r="O97" s="28">
        <f t="shared" si="1"/>
        <v>63.64</v>
      </c>
    </row>
    <row r="98" spans="1:15" x14ac:dyDescent="0.25">
      <c r="A98" s="8"/>
      <c r="B98" s="12">
        <v>0.19900000000000001</v>
      </c>
      <c r="C98" s="4">
        <v>1.9E-2</v>
      </c>
      <c r="D98" s="12">
        <v>106</v>
      </c>
      <c r="E98" s="5">
        <v>105</v>
      </c>
      <c r="J98" s="8"/>
      <c r="K98" s="12">
        <v>0.23499999999999999</v>
      </c>
      <c r="L98" s="4">
        <v>2.1000000000000001E-2</v>
      </c>
      <c r="M98" s="12">
        <v>106</v>
      </c>
      <c r="N98" s="5">
        <v>66</v>
      </c>
      <c r="O98" s="28">
        <f t="shared" si="1"/>
        <v>62.26</v>
      </c>
    </row>
    <row r="99" spans="1:15" x14ac:dyDescent="0.25">
      <c r="A99" s="8"/>
      <c r="B99" s="12">
        <v>0.1</v>
      </c>
      <c r="C99" s="4">
        <v>1.2E-2</v>
      </c>
      <c r="D99" s="12">
        <v>53</v>
      </c>
      <c r="E99" s="5">
        <v>52</v>
      </c>
      <c r="J99" s="8"/>
      <c r="K99" s="12">
        <v>0.10299999999999999</v>
      </c>
      <c r="L99" s="4">
        <v>1.6E-2</v>
      </c>
      <c r="M99" s="12">
        <v>53</v>
      </c>
      <c r="N99" s="5">
        <v>44</v>
      </c>
      <c r="O99" s="28">
        <f t="shared" si="1"/>
        <v>83.02</v>
      </c>
    </row>
    <row r="100" spans="1:15" x14ac:dyDescent="0.25">
      <c r="A100" s="8"/>
      <c r="B100" s="12">
        <v>4.5999999999999999E-2</v>
      </c>
      <c r="C100" s="4">
        <v>8.9999999999999993E-3</v>
      </c>
      <c r="D100" s="12">
        <v>22</v>
      </c>
      <c r="E100" s="5">
        <v>21</v>
      </c>
      <c r="J100" s="8"/>
      <c r="K100" s="12">
        <v>5.3999999999999999E-2</v>
      </c>
      <c r="L100" s="4">
        <v>1.2E-2</v>
      </c>
      <c r="M100" s="12">
        <v>22</v>
      </c>
      <c r="N100" s="5">
        <v>18</v>
      </c>
      <c r="O100" s="28">
        <f t="shared" si="1"/>
        <v>81.819999999999993</v>
      </c>
    </row>
    <row r="101" spans="1:15" x14ac:dyDescent="0.25">
      <c r="A101" s="8"/>
      <c r="B101" s="13">
        <v>1.6E-2</v>
      </c>
      <c r="C101" s="4">
        <v>5.0000000000000001E-3</v>
      </c>
      <c r="D101" s="13">
        <v>5</v>
      </c>
      <c r="E101" s="5">
        <v>4</v>
      </c>
      <c r="J101" s="8"/>
      <c r="K101" s="13">
        <v>2.5000000000000001E-2</v>
      </c>
      <c r="L101" s="4">
        <v>6.0000000000000001E-3</v>
      </c>
      <c r="M101" s="13">
        <v>5</v>
      </c>
      <c r="N101" s="5">
        <v>4</v>
      </c>
      <c r="O101" s="28">
        <f t="shared" si="1"/>
        <v>80</v>
      </c>
    </row>
    <row r="102" spans="1:15" x14ac:dyDescent="0.25">
      <c r="A102" s="9"/>
      <c r="B102" s="35" t="s">
        <v>6</v>
      </c>
      <c r="C102" s="36"/>
      <c r="D102" s="36"/>
      <c r="E102" s="37"/>
      <c r="J102" s="9"/>
      <c r="K102" s="49" t="s">
        <v>9</v>
      </c>
      <c r="L102" s="50"/>
      <c r="M102" s="50"/>
      <c r="N102" s="51"/>
    </row>
    <row r="105" spans="1:15" x14ac:dyDescent="0.25">
      <c r="A105" s="15"/>
      <c r="B105" s="24" t="s">
        <v>12</v>
      </c>
      <c r="C105" s="24" t="s">
        <v>13</v>
      </c>
      <c r="D105" s="24" t="s">
        <v>14</v>
      </c>
      <c r="E105" s="24" t="s">
        <v>15</v>
      </c>
      <c r="J105" s="15"/>
      <c r="K105" s="24" t="s">
        <v>12</v>
      </c>
      <c r="L105" s="24" t="s">
        <v>13</v>
      </c>
      <c r="M105" s="24" t="s">
        <v>14</v>
      </c>
      <c r="N105" s="24" t="s">
        <v>15</v>
      </c>
    </row>
    <row r="106" spans="1:15" x14ac:dyDescent="0.25">
      <c r="A106" s="14">
        <v>19</v>
      </c>
      <c r="B106" s="12">
        <f>AVERAGE(B3,B13,B23,B33,B43,B53,B63,B73,B83,B93)</f>
        <v>3.0848</v>
      </c>
      <c r="C106" s="12">
        <f t="shared" ref="C106:E106" si="2">AVERAGE(C3,C13,C23,C33,C43,C53,C63,C73,C83,C93)</f>
        <v>0.12790000000000001</v>
      </c>
      <c r="D106" s="12">
        <f t="shared" si="2"/>
        <v>911</v>
      </c>
      <c r="E106" s="12">
        <f t="shared" si="2"/>
        <v>910</v>
      </c>
      <c r="J106" s="14">
        <v>19</v>
      </c>
      <c r="K106" s="12">
        <f>AVERAGE(K3,K13,K23,K33,K43,K53,K63,K73,K83,K93)</f>
        <v>3.0559000000000003</v>
      </c>
      <c r="L106" s="12">
        <f t="shared" ref="L106:N106" si="3">AVERAGE(L3,L13,L23,L33,L43,L53,L63,L73,L83,L93)</f>
        <v>8.3999999999999991E-2</v>
      </c>
      <c r="M106" s="12">
        <f t="shared" si="3"/>
        <v>911</v>
      </c>
      <c r="N106" s="12">
        <f t="shared" si="3"/>
        <v>398.6</v>
      </c>
      <c r="O106" s="54">
        <f>ROUND(N106/M106*100,2)</f>
        <v>43.75</v>
      </c>
    </row>
    <row r="107" spans="1:15" x14ac:dyDescent="0.25">
      <c r="A107" s="12">
        <v>17</v>
      </c>
      <c r="B107" s="12">
        <f t="shared" ref="B107:E114" si="4">AVERAGE(B4,B14,B24,B34,B44,B54,B64,B74,B84,B94)</f>
        <v>2.3400000000000003</v>
      </c>
      <c r="C107" s="12">
        <f t="shared" si="4"/>
        <v>9.6299999999999983E-2</v>
      </c>
      <c r="D107" s="12">
        <f t="shared" si="4"/>
        <v>658</v>
      </c>
      <c r="E107" s="12">
        <f t="shared" si="4"/>
        <v>657</v>
      </c>
      <c r="J107" s="12">
        <v>17</v>
      </c>
      <c r="K107" s="12">
        <f t="shared" ref="K107:N107" si="5">AVERAGE(K4,K14,K24,K34,K44,K54,K64,K74,K84,K94)</f>
        <v>2.0223</v>
      </c>
      <c r="L107" s="12">
        <f t="shared" si="5"/>
        <v>6.8899999999999989E-2</v>
      </c>
      <c r="M107" s="12">
        <f t="shared" si="5"/>
        <v>658</v>
      </c>
      <c r="N107" s="12">
        <f t="shared" si="5"/>
        <v>340.3</v>
      </c>
      <c r="O107" s="54">
        <f t="shared" ref="O107:O114" si="6">ROUND(N107/M107*100,2)</f>
        <v>51.72</v>
      </c>
    </row>
    <row r="108" spans="1:15" x14ac:dyDescent="0.25">
      <c r="A108" s="12">
        <v>15</v>
      </c>
      <c r="B108" s="12">
        <f t="shared" si="4"/>
        <v>1.4489000000000003</v>
      </c>
      <c r="C108" s="12">
        <f t="shared" si="4"/>
        <v>6.5799999999999997E-2</v>
      </c>
      <c r="D108" s="12">
        <f t="shared" si="4"/>
        <v>457</v>
      </c>
      <c r="E108" s="12">
        <f t="shared" si="4"/>
        <v>456</v>
      </c>
      <c r="J108" s="12">
        <v>15</v>
      </c>
      <c r="K108" s="12">
        <f t="shared" ref="K108:N108" si="7">AVERAGE(K5,K15,K25,K35,K45,K55,K65,K75,K85,K95)</f>
        <v>1.4457</v>
      </c>
      <c r="L108" s="12">
        <f t="shared" si="7"/>
        <v>5.1400000000000001E-2</v>
      </c>
      <c r="M108" s="12">
        <f t="shared" si="7"/>
        <v>457</v>
      </c>
      <c r="N108" s="12">
        <f t="shared" si="7"/>
        <v>253.3</v>
      </c>
      <c r="O108" s="54">
        <f t="shared" si="6"/>
        <v>55.43</v>
      </c>
    </row>
    <row r="109" spans="1:15" x14ac:dyDescent="0.25">
      <c r="A109" s="12">
        <v>13</v>
      </c>
      <c r="B109" s="12">
        <f t="shared" si="4"/>
        <v>1.0873999999999999</v>
      </c>
      <c r="C109" s="12">
        <f t="shared" si="4"/>
        <v>4.6299999999999994E-2</v>
      </c>
      <c r="D109" s="12">
        <f t="shared" si="4"/>
        <v>302</v>
      </c>
      <c r="E109" s="12">
        <f t="shared" si="4"/>
        <v>301</v>
      </c>
      <c r="J109" s="12">
        <v>13</v>
      </c>
      <c r="K109" s="12">
        <f t="shared" ref="K109:N109" si="8">AVERAGE(K6,K16,K26,K36,K46,K56,K66,K76,K86,K96)</f>
        <v>1.0115000000000001</v>
      </c>
      <c r="L109" s="12">
        <f t="shared" si="8"/>
        <v>4.07E-2</v>
      </c>
      <c r="M109" s="12">
        <f t="shared" si="8"/>
        <v>302</v>
      </c>
      <c r="N109" s="12">
        <f t="shared" si="8"/>
        <v>182.4</v>
      </c>
      <c r="O109" s="54">
        <f t="shared" si="6"/>
        <v>60.4</v>
      </c>
    </row>
    <row r="110" spans="1:15" x14ac:dyDescent="0.25">
      <c r="A110" s="12">
        <v>11</v>
      </c>
      <c r="B110" s="12">
        <f t="shared" si="4"/>
        <v>0.46829999999999999</v>
      </c>
      <c r="C110" s="12">
        <f t="shared" si="4"/>
        <v>2.9900000000000003E-2</v>
      </c>
      <c r="D110" s="12">
        <f t="shared" si="4"/>
        <v>187</v>
      </c>
      <c r="E110" s="12">
        <f t="shared" si="4"/>
        <v>186</v>
      </c>
      <c r="J110" s="12">
        <v>11</v>
      </c>
      <c r="K110" s="12">
        <f t="shared" ref="K110:N110" si="9">AVERAGE(K7,K17,K27,K37,K47,K57,K67,K77,K87,K97)</f>
        <v>0.52370000000000005</v>
      </c>
      <c r="L110" s="12">
        <f t="shared" si="9"/>
        <v>2.9500000000000005E-2</v>
      </c>
      <c r="M110" s="12">
        <f t="shared" si="9"/>
        <v>187</v>
      </c>
      <c r="N110" s="12">
        <f t="shared" si="9"/>
        <v>118</v>
      </c>
      <c r="O110" s="54">
        <f t="shared" si="6"/>
        <v>63.1</v>
      </c>
    </row>
    <row r="111" spans="1:15" x14ac:dyDescent="0.25">
      <c r="A111" s="12">
        <v>9</v>
      </c>
      <c r="B111" s="12">
        <f t="shared" si="4"/>
        <v>0.26669999999999999</v>
      </c>
      <c r="C111" s="12">
        <f t="shared" si="4"/>
        <v>2.1299999999999996E-2</v>
      </c>
      <c r="D111" s="12">
        <f t="shared" si="4"/>
        <v>106</v>
      </c>
      <c r="E111" s="12">
        <f t="shared" si="4"/>
        <v>105</v>
      </c>
      <c r="J111" s="12">
        <v>9</v>
      </c>
      <c r="K111" s="12">
        <f t="shared" ref="K111:N111" si="10">AVERAGE(K8,K18,K28,K38,K48,K58,K68,K78,K88,K98)</f>
        <v>0.23489999999999997</v>
      </c>
      <c r="L111" s="12">
        <f t="shared" si="10"/>
        <v>2.2899999999999997E-2</v>
      </c>
      <c r="M111" s="12">
        <f t="shared" si="10"/>
        <v>106</v>
      </c>
      <c r="N111" s="12">
        <f t="shared" si="10"/>
        <v>79.099999999999994</v>
      </c>
      <c r="O111" s="54">
        <f t="shared" si="6"/>
        <v>74.62</v>
      </c>
    </row>
    <row r="112" spans="1:15" x14ac:dyDescent="0.25">
      <c r="A112" s="12">
        <v>7</v>
      </c>
      <c r="B112" s="12">
        <f t="shared" si="4"/>
        <v>0.1085</v>
      </c>
      <c r="C112" s="12">
        <f t="shared" si="4"/>
        <v>1.4400000000000001E-2</v>
      </c>
      <c r="D112" s="12">
        <f t="shared" si="4"/>
        <v>53</v>
      </c>
      <c r="E112" s="12">
        <f t="shared" si="4"/>
        <v>52</v>
      </c>
      <c r="J112" s="12">
        <v>7</v>
      </c>
      <c r="K112" s="12">
        <f t="shared" ref="K112:N112" si="11">AVERAGE(K9,K19,K29,K39,K49,K59,K69,K79,K89,K99)</f>
        <v>0.13450000000000001</v>
      </c>
      <c r="L112" s="12">
        <f t="shared" si="11"/>
        <v>1.5400000000000002E-2</v>
      </c>
      <c r="M112" s="12">
        <f t="shared" si="11"/>
        <v>53</v>
      </c>
      <c r="N112" s="12">
        <f t="shared" si="11"/>
        <v>42</v>
      </c>
      <c r="O112" s="54">
        <f t="shared" si="6"/>
        <v>79.25</v>
      </c>
    </row>
    <row r="113" spans="1:15" x14ac:dyDescent="0.25">
      <c r="A113" s="12">
        <v>5</v>
      </c>
      <c r="B113" s="12">
        <f t="shared" si="4"/>
        <v>4.8999999999999995E-2</v>
      </c>
      <c r="C113" s="12">
        <f t="shared" si="4"/>
        <v>9.2999999999999992E-3</v>
      </c>
      <c r="D113" s="12">
        <f t="shared" si="4"/>
        <v>22</v>
      </c>
      <c r="E113" s="12">
        <f t="shared" si="4"/>
        <v>21</v>
      </c>
      <c r="J113" s="12">
        <v>5</v>
      </c>
      <c r="K113" s="12">
        <f t="shared" ref="K113:N113" si="12">AVERAGE(K10,K20,K30,K40,K50,K60,K70,K80,K90,K100)</f>
        <v>5.11E-2</v>
      </c>
      <c r="L113" s="12">
        <f t="shared" si="12"/>
        <v>9.9999999999999985E-3</v>
      </c>
      <c r="M113" s="12">
        <f t="shared" si="12"/>
        <v>22</v>
      </c>
      <c r="N113" s="12">
        <f t="shared" si="12"/>
        <v>19</v>
      </c>
      <c r="O113" s="54">
        <f t="shared" si="6"/>
        <v>86.36</v>
      </c>
    </row>
    <row r="114" spans="1:15" x14ac:dyDescent="0.25">
      <c r="A114" s="13">
        <v>3</v>
      </c>
      <c r="B114" s="13">
        <f>AVERAGE(B11,B21,B31,B41,B51,B61,B71,B81,B91,B101)</f>
        <v>1.83E-2</v>
      </c>
      <c r="C114" s="13">
        <f t="shared" ref="C114:E114" si="13">AVERAGE(C11,C21,C31,C41,C51,C61,C71,C81,C91,C101)</f>
        <v>5.7999999999999987E-3</v>
      </c>
      <c r="D114" s="13">
        <f t="shared" si="13"/>
        <v>5</v>
      </c>
      <c r="E114" s="13">
        <f t="shared" si="13"/>
        <v>4</v>
      </c>
      <c r="J114" s="13">
        <v>3</v>
      </c>
      <c r="K114" s="13">
        <f>AVERAGE(K11,K21,K31,K41,K51,K61,K71,K81,K91,K101)</f>
        <v>1.8700000000000001E-2</v>
      </c>
      <c r="L114" s="13">
        <f t="shared" ref="L114:N114" si="14">AVERAGE(L11,L21,L31,L41,L51,L61,L71,L81,L91,L101)</f>
        <v>4.4999999999999997E-3</v>
      </c>
      <c r="M114" s="13">
        <f t="shared" si="14"/>
        <v>5</v>
      </c>
      <c r="N114" s="13">
        <f t="shared" si="14"/>
        <v>4</v>
      </c>
      <c r="O114" s="54">
        <f t="shared" si="6"/>
        <v>80</v>
      </c>
    </row>
    <row r="116" spans="1:15" x14ac:dyDescent="0.25">
      <c r="A116" s="15"/>
      <c r="B116" s="24" t="s">
        <v>16</v>
      </c>
      <c r="C116" s="24" t="s">
        <v>17</v>
      </c>
      <c r="D116" s="24" t="s">
        <v>19</v>
      </c>
      <c r="E116" s="24" t="s">
        <v>18</v>
      </c>
      <c r="J116" s="15"/>
      <c r="K116" s="24" t="s">
        <v>16</v>
      </c>
      <c r="L116" s="24" t="s">
        <v>17</v>
      </c>
      <c r="M116" s="24" t="s">
        <v>19</v>
      </c>
      <c r="N116" s="24" t="s">
        <v>18</v>
      </c>
    </row>
    <row r="117" spans="1:15" x14ac:dyDescent="0.25">
      <c r="A117" s="14">
        <v>19</v>
      </c>
      <c r="B117" s="11">
        <f>_xlfn.STDEV.S(B3,B13,B23,B33,B43,B53,B63,B73,B83,B93)</f>
        <v>0.75131422631723765</v>
      </c>
      <c r="C117" s="11">
        <f t="shared" ref="C117:E117" si="15">_xlfn.STDEV.S(C3,C13,C23,C33,C43,C53,C63,C73,C83,C93)</f>
        <v>6.367451958550179E-3</v>
      </c>
      <c r="D117" s="12">
        <f t="shared" si="15"/>
        <v>0</v>
      </c>
      <c r="E117" s="12">
        <f t="shared" si="15"/>
        <v>0</v>
      </c>
      <c r="J117" s="14">
        <v>19</v>
      </c>
      <c r="K117" s="11">
        <f>_xlfn.STDEV.S(K3,K13,K23,K33,K43,K53,K63,K73,K83,K93)</f>
        <v>0.79443375361881929</v>
      </c>
      <c r="L117" s="11">
        <f t="shared" ref="L117:N117" si="16">_xlfn.STDEV.S(L3,L13,L23,L33,L43,L53,L63,L73,L83,L93)</f>
        <v>1.6693312034065301E-2</v>
      </c>
      <c r="M117" s="26">
        <f t="shared" si="16"/>
        <v>0</v>
      </c>
      <c r="N117" s="11">
        <f t="shared" si="16"/>
        <v>75.218496543218762</v>
      </c>
    </row>
    <row r="118" spans="1:15" x14ac:dyDescent="0.25">
      <c r="A118" s="12">
        <v>17</v>
      </c>
      <c r="B118" s="11">
        <f t="shared" ref="B118:E125" si="17">_xlfn.STDEV.S(B4,B14,B24,B34,B44,B54,B64,B74,B84,B94)</f>
        <v>0.97376679845729863</v>
      </c>
      <c r="C118" s="11">
        <f t="shared" si="17"/>
        <v>1.3944732179413041E-2</v>
      </c>
      <c r="D118" s="12">
        <f t="shared" si="17"/>
        <v>0</v>
      </c>
      <c r="E118" s="12">
        <f t="shared" si="17"/>
        <v>0</v>
      </c>
      <c r="J118" s="12">
        <v>17</v>
      </c>
      <c r="K118" s="11">
        <f t="shared" ref="K118:N118" si="18">_xlfn.STDEV.S(K4,K14,K24,K34,K44,K54,K64,K74,K84,K94)</f>
        <v>0.71278422011464593</v>
      </c>
      <c r="L118" s="11">
        <f t="shared" si="18"/>
        <v>6.2618776026932294E-3</v>
      </c>
      <c r="M118" s="26">
        <f t="shared" si="18"/>
        <v>0</v>
      </c>
      <c r="N118" s="11">
        <f t="shared" si="18"/>
        <v>38.005993679360181</v>
      </c>
    </row>
    <row r="119" spans="1:15" x14ac:dyDescent="0.25">
      <c r="A119" s="12">
        <v>15</v>
      </c>
      <c r="B119" s="11">
        <f t="shared" si="17"/>
        <v>0.84762065021250266</v>
      </c>
      <c r="C119" s="11">
        <f t="shared" si="17"/>
        <v>1.8737959096740281E-3</v>
      </c>
      <c r="D119" s="12">
        <f t="shared" si="17"/>
        <v>0</v>
      </c>
      <c r="E119" s="12">
        <f t="shared" si="17"/>
        <v>0</v>
      </c>
      <c r="J119" s="12">
        <v>15</v>
      </c>
      <c r="K119" s="11">
        <f t="shared" ref="K119:N119" si="19">_xlfn.STDEV.S(K5,K15,K25,K35,K45,K55,K65,K75,K85,K95)</f>
        <v>0.84404476579543275</v>
      </c>
      <c r="L119" s="11">
        <f t="shared" si="19"/>
        <v>7.1833139984271632E-3</v>
      </c>
      <c r="M119" s="26">
        <f t="shared" si="19"/>
        <v>0</v>
      </c>
      <c r="N119" s="11">
        <f t="shared" si="19"/>
        <v>37.688931472722238</v>
      </c>
    </row>
    <row r="120" spans="1:15" x14ac:dyDescent="0.25">
      <c r="A120" s="12">
        <v>13</v>
      </c>
      <c r="B120" s="11">
        <f t="shared" si="17"/>
        <v>0.96247726668679778</v>
      </c>
      <c r="C120" s="11">
        <f t="shared" si="17"/>
        <v>3.1640339933558088E-3</v>
      </c>
      <c r="D120" s="12">
        <f t="shared" si="17"/>
        <v>0</v>
      </c>
      <c r="E120" s="12">
        <f t="shared" si="17"/>
        <v>0</v>
      </c>
      <c r="J120" s="12">
        <v>13</v>
      </c>
      <c r="K120" s="11">
        <f t="shared" ref="K120:N120" si="20">_xlfn.STDEV.S(K6,K16,K26,K36,K46,K56,K66,K76,K86,K96)</f>
        <v>0.86102113149962156</v>
      </c>
      <c r="L120" s="11">
        <f t="shared" si="20"/>
        <v>7.4988888065721845E-3</v>
      </c>
      <c r="M120" s="26">
        <f t="shared" si="20"/>
        <v>0</v>
      </c>
      <c r="N120" s="11">
        <f t="shared" si="20"/>
        <v>22.959868369735009</v>
      </c>
    </row>
    <row r="121" spans="1:15" x14ac:dyDescent="0.25">
      <c r="A121" s="12">
        <v>11</v>
      </c>
      <c r="B121" s="11">
        <f t="shared" si="17"/>
        <v>0.10660628499295896</v>
      </c>
      <c r="C121" s="11">
        <f t="shared" si="17"/>
        <v>7.3786478737262106E-4</v>
      </c>
      <c r="D121" s="12">
        <f t="shared" si="17"/>
        <v>0</v>
      </c>
      <c r="E121" s="12">
        <f t="shared" si="17"/>
        <v>0</v>
      </c>
      <c r="J121" s="12">
        <v>11</v>
      </c>
      <c r="K121" s="11">
        <f t="shared" ref="K121:N121" si="21">_xlfn.STDEV.S(K7,K17,K27,K37,K47,K57,K67,K77,K87,K97)</f>
        <v>0.15940727015345876</v>
      </c>
      <c r="L121" s="11">
        <f t="shared" si="21"/>
        <v>3.1710495984067408E-3</v>
      </c>
      <c r="M121" s="26">
        <f t="shared" si="21"/>
        <v>0</v>
      </c>
      <c r="N121" s="11">
        <f t="shared" si="21"/>
        <v>10.022197585581939</v>
      </c>
    </row>
    <row r="122" spans="1:15" x14ac:dyDescent="0.25">
      <c r="A122" s="12">
        <v>9</v>
      </c>
      <c r="B122" s="11">
        <f t="shared" si="17"/>
        <v>9.4288033882000841E-2</v>
      </c>
      <c r="C122" s="11">
        <f t="shared" si="17"/>
        <v>1.0593499054713797E-3</v>
      </c>
      <c r="D122" s="12">
        <f t="shared" si="17"/>
        <v>0</v>
      </c>
      <c r="E122" s="12">
        <f t="shared" si="17"/>
        <v>0</v>
      </c>
      <c r="J122" s="12">
        <v>9</v>
      </c>
      <c r="K122" s="11">
        <f t="shared" ref="K122:N122" si="22">_xlfn.STDEV.S(K8,K18,K28,K38,K48,K58,K68,K78,K88,K98)</f>
        <v>6.0597854747507403E-2</v>
      </c>
      <c r="L122" s="11">
        <f t="shared" si="22"/>
        <v>1.6633299933166198E-3</v>
      </c>
      <c r="M122" s="26">
        <f t="shared" si="22"/>
        <v>0</v>
      </c>
      <c r="N122" s="11">
        <f t="shared" si="22"/>
        <v>6.0635523141692005</v>
      </c>
    </row>
    <row r="123" spans="1:15" x14ac:dyDescent="0.25">
      <c r="A123" s="12">
        <v>7</v>
      </c>
      <c r="B123" s="11">
        <f t="shared" si="17"/>
        <v>1.2730104302618941E-2</v>
      </c>
      <c r="C123" s="11">
        <f t="shared" si="17"/>
        <v>2.0655911179772888E-3</v>
      </c>
      <c r="D123" s="12">
        <f t="shared" si="17"/>
        <v>0</v>
      </c>
      <c r="E123" s="12">
        <f t="shared" si="17"/>
        <v>0</v>
      </c>
      <c r="J123" s="12">
        <v>7</v>
      </c>
      <c r="K123" s="11">
        <f t="shared" ref="K123:N123" si="23">_xlfn.STDEV.S(K9,K19,K29,K39,K49,K59,K69,K79,K89,K99)</f>
        <v>6.3697636446644473E-2</v>
      </c>
      <c r="L123" s="11">
        <f t="shared" si="23"/>
        <v>1.1737877907772676E-3</v>
      </c>
      <c r="M123" s="26">
        <f t="shared" si="23"/>
        <v>0</v>
      </c>
      <c r="N123" s="11">
        <f t="shared" si="23"/>
        <v>2.9814239699997196</v>
      </c>
    </row>
    <row r="124" spans="1:15" x14ac:dyDescent="0.25">
      <c r="A124" s="12">
        <v>5</v>
      </c>
      <c r="B124" s="11">
        <f t="shared" si="17"/>
        <v>2.4944382578492943E-3</v>
      </c>
      <c r="C124" s="11">
        <f t="shared" si="17"/>
        <v>4.8304589153964835E-4</v>
      </c>
      <c r="D124" s="12">
        <f t="shared" si="17"/>
        <v>0</v>
      </c>
      <c r="E124" s="12">
        <f t="shared" si="17"/>
        <v>0</v>
      </c>
      <c r="J124" s="12">
        <v>5</v>
      </c>
      <c r="K124" s="11">
        <f t="shared" ref="K124:N124" si="24">_xlfn.STDEV.S(K10,K20,K30,K40,K50,K60,K70,K80,K90,K100)</f>
        <v>7.964504588066558E-3</v>
      </c>
      <c r="L124" s="11">
        <f t="shared" si="24"/>
        <v>1.0540925533894597E-3</v>
      </c>
      <c r="M124" s="26">
        <f t="shared" si="24"/>
        <v>0</v>
      </c>
      <c r="N124" s="11">
        <f t="shared" si="24"/>
        <v>0.94280904158206336</v>
      </c>
    </row>
    <row r="125" spans="1:15" x14ac:dyDescent="0.25">
      <c r="A125" s="13">
        <v>3</v>
      </c>
      <c r="B125" s="25">
        <f t="shared" si="17"/>
        <v>2.0027758514399741E-3</v>
      </c>
      <c r="C125" s="25">
        <f t="shared" si="17"/>
        <v>6.3245553203367588E-4</v>
      </c>
      <c r="D125" s="13">
        <f t="shared" si="17"/>
        <v>0</v>
      </c>
      <c r="E125" s="13">
        <f t="shared" si="17"/>
        <v>0</v>
      </c>
      <c r="J125" s="13">
        <v>3</v>
      </c>
      <c r="K125" s="25">
        <f t="shared" ref="K125:N125" si="25">_xlfn.STDEV.S(K11,K21,K31,K41,K51,K61,K71,K81,K91,K101)</f>
        <v>2.540778533354601E-3</v>
      </c>
      <c r="L125" s="25">
        <f t="shared" si="25"/>
        <v>7.0710678118654751E-4</v>
      </c>
      <c r="M125" s="27">
        <f t="shared" si="25"/>
        <v>0</v>
      </c>
      <c r="N125" s="27">
        <f t="shared" si="25"/>
        <v>0</v>
      </c>
    </row>
    <row r="127" spans="1:15" x14ac:dyDescent="0.25">
      <c r="A127" s="15"/>
      <c r="B127" s="24" t="s">
        <v>22</v>
      </c>
      <c r="C127" s="33" t="s">
        <v>23</v>
      </c>
      <c r="J127" s="15"/>
      <c r="K127" s="31" t="s">
        <v>22</v>
      </c>
      <c r="L127" s="24" t="s">
        <v>23</v>
      </c>
      <c r="M127" s="32"/>
      <c r="N127" s="24" t="s">
        <v>24</v>
      </c>
    </row>
    <row r="128" spans="1:15" x14ac:dyDescent="0.25">
      <c r="A128" s="15">
        <v>1</v>
      </c>
      <c r="B128" s="11">
        <f>B117*$H$2</f>
        <v>1.697970151476957</v>
      </c>
      <c r="C128" s="29">
        <f>C117*$H$2</f>
        <v>1.4390441426323404E-2</v>
      </c>
      <c r="J128" s="14">
        <v>19</v>
      </c>
      <c r="K128" s="6">
        <f>K117*$H$2</f>
        <v>1.7954202831785315</v>
      </c>
      <c r="L128" s="11">
        <f>L117*$H$2</f>
        <v>3.7726885196987574E-2</v>
      </c>
      <c r="M128" s="4"/>
      <c r="N128" s="11">
        <f>N117*$H$2</f>
        <v>169.99380218767439</v>
      </c>
    </row>
    <row r="129" spans="1:14" x14ac:dyDescent="0.25">
      <c r="A129" s="16">
        <v>2</v>
      </c>
      <c r="B129" s="11">
        <f t="shared" ref="B129:C129" si="26">B118*$H$2</f>
        <v>2.2007129645134946</v>
      </c>
      <c r="C129" s="29">
        <f t="shared" si="26"/>
        <v>3.1515094725473473E-2</v>
      </c>
      <c r="J129" s="12">
        <v>17</v>
      </c>
      <c r="K129" s="6">
        <f t="shared" ref="K129:L129" si="27">K118*$H$2</f>
        <v>1.6108923374590995</v>
      </c>
      <c r="L129" s="11">
        <f>L118*$H$2</f>
        <v>1.4151843382086696E-2</v>
      </c>
      <c r="M129" s="4"/>
      <c r="N129" s="11">
        <f t="shared" ref="N129" si="28">N118*$H$2</f>
        <v>85.893545715353994</v>
      </c>
    </row>
    <row r="130" spans="1:14" x14ac:dyDescent="0.25">
      <c r="A130" s="16">
        <v>3</v>
      </c>
      <c r="B130" s="11">
        <f t="shared" ref="B130:C130" si="29">B119*$H$2</f>
        <v>1.9156226694802558</v>
      </c>
      <c r="C130" s="29">
        <f t="shared" si="29"/>
        <v>4.2347787558633032E-3</v>
      </c>
      <c r="J130" s="12">
        <v>15</v>
      </c>
      <c r="K130" s="6">
        <f t="shared" ref="K130:L130" si="30">K119*$H$2</f>
        <v>1.9075411706976779</v>
      </c>
      <c r="L130" s="11">
        <f>L119*$H$2</f>
        <v>1.6234289636445388E-2</v>
      </c>
      <c r="M130" s="4"/>
      <c r="N130" s="11">
        <f>N119*$H$2</f>
        <v>85.176985128352257</v>
      </c>
    </row>
    <row r="131" spans="1:14" x14ac:dyDescent="0.25">
      <c r="A131" s="16">
        <v>4</v>
      </c>
      <c r="B131" s="11">
        <f t="shared" ref="B131:C131" si="31">B120*$H$2</f>
        <v>2.1751986227121627</v>
      </c>
      <c r="C131" s="29">
        <f t="shared" si="31"/>
        <v>7.1507168249841267E-3</v>
      </c>
      <c r="J131" s="12">
        <v>13</v>
      </c>
      <c r="K131" s="6">
        <f t="shared" ref="K131:L131" si="32">K120*$H$2</f>
        <v>1.9459077571891445</v>
      </c>
      <c r="L131" s="11">
        <f>L120*$H$2</f>
        <v>1.6947488702853137E-2</v>
      </c>
      <c r="M131" s="4"/>
      <c r="N131" s="11">
        <f t="shared" ref="N131" si="33">N120*$H$2</f>
        <v>51.889302515601116</v>
      </c>
    </row>
    <row r="132" spans="1:14" x14ac:dyDescent="0.25">
      <c r="A132" s="16">
        <v>5</v>
      </c>
      <c r="B132" s="11">
        <f t="shared" ref="B132:C132" si="34">B121*$H$2</f>
        <v>0.24093020408408722</v>
      </c>
      <c r="C132" s="29">
        <f t="shared" si="34"/>
        <v>1.6675744194621235E-3</v>
      </c>
      <c r="J132" s="12">
        <v>11</v>
      </c>
      <c r="K132" s="6">
        <f t="shared" ref="K132:L132" si="35">K121*$H$2</f>
        <v>0.36026043054681678</v>
      </c>
      <c r="L132" s="11">
        <f t="shared" si="35"/>
        <v>7.1665720923992336E-3</v>
      </c>
      <c r="M132" s="4"/>
      <c r="N132" s="11">
        <f>N121*$H$2</f>
        <v>22.650166543415178</v>
      </c>
    </row>
    <row r="133" spans="1:14" x14ac:dyDescent="0.25">
      <c r="A133" s="16">
        <v>6</v>
      </c>
      <c r="B133" s="11">
        <f t="shared" ref="B133:C133" si="36">B122*$H$2</f>
        <v>0.21309095657332189</v>
      </c>
      <c r="C133" s="29">
        <f t="shared" si="36"/>
        <v>2.3941307863653179E-3</v>
      </c>
      <c r="J133" s="12">
        <v>9</v>
      </c>
      <c r="K133" s="6">
        <f t="shared" ref="K133:L133" si="37">K122*$H$2</f>
        <v>0.13695115172936673</v>
      </c>
      <c r="L133" s="11">
        <f t="shared" si="37"/>
        <v>3.7591257848955603E-3</v>
      </c>
      <c r="M133" s="4"/>
      <c r="N133" s="11">
        <f t="shared" ref="N133" si="38">N122*$H$2</f>
        <v>13.703628230022392</v>
      </c>
    </row>
    <row r="134" spans="1:14" x14ac:dyDescent="0.25">
      <c r="A134" s="16">
        <v>7</v>
      </c>
      <c r="B134" s="11">
        <f t="shared" ref="B134:C134" si="39">B123*$H$2</f>
        <v>2.8770035723918803E-2</v>
      </c>
      <c r="C134" s="29">
        <f t="shared" si="39"/>
        <v>4.668235926628672E-3</v>
      </c>
      <c r="J134" s="12">
        <v>7</v>
      </c>
      <c r="K134" s="6">
        <f t="shared" ref="K134:L134" si="40">K123*$H$2</f>
        <v>0.14395665836941648</v>
      </c>
      <c r="L134" s="11">
        <f t="shared" si="40"/>
        <v>2.6527604071566245E-3</v>
      </c>
      <c r="M134" s="4"/>
      <c r="N134" s="11">
        <f t="shared" ref="N134" si="41">N123*$H$2</f>
        <v>6.7380181721993653</v>
      </c>
    </row>
    <row r="135" spans="1:14" x14ac:dyDescent="0.25">
      <c r="A135" s="16">
        <v>8</v>
      </c>
      <c r="B135" s="11">
        <f t="shared" ref="B135:C135" si="42">B124*$H$2</f>
        <v>5.6374304627394047E-3</v>
      </c>
      <c r="C135" s="29">
        <f t="shared" si="42"/>
        <v>1.0916837148796051E-3</v>
      </c>
      <c r="J135" s="12">
        <v>5</v>
      </c>
      <c r="K135" s="6">
        <f t="shared" ref="K135:L135" si="43">K124*$H$2</f>
        <v>1.7999780369030421E-2</v>
      </c>
      <c r="L135" s="11">
        <f t="shared" si="43"/>
        <v>2.3822491706601786E-3</v>
      </c>
      <c r="M135" s="4"/>
      <c r="N135" s="11">
        <f t="shared" ref="N135" si="44">N124*$H$2</f>
        <v>2.1307484339754628</v>
      </c>
    </row>
    <row r="136" spans="1:14" x14ac:dyDescent="0.25">
      <c r="A136" s="17">
        <v>9</v>
      </c>
      <c r="B136" s="25">
        <f t="shared" ref="B136:C136" si="45">B125*$H$2</f>
        <v>4.5262734242543408E-3</v>
      </c>
      <c r="C136" s="34">
        <f t="shared" si="45"/>
        <v>1.4293495023961073E-3</v>
      </c>
      <c r="J136" s="13">
        <v>3</v>
      </c>
      <c r="K136" s="30">
        <f t="shared" ref="K136:L136" si="46">K125*$H$2</f>
        <v>5.7421594853813976E-3</v>
      </c>
      <c r="L136" s="25">
        <f t="shared" si="46"/>
        <v>1.5980613254815972E-3</v>
      </c>
      <c r="M136" s="23"/>
      <c r="N136" s="27">
        <f t="shared" ref="N136" si="47">N125*$H$2</f>
        <v>0</v>
      </c>
    </row>
  </sheetData>
  <mergeCells count="40">
    <mergeCell ref="J63:J72"/>
    <mergeCell ref="K72:N72"/>
    <mergeCell ref="J73:J82"/>
    <mergeCell ref="K82:N82"/>
    <mergeCell ref="J83:J92"/>
    <mergeCell ref="K92:N92"/>
    <mergeCell ref="J33:J42"/>
    <mergeCell ref="K42:N42"/>
    <mergeCell ref="J43:J52"/>
    <mergeCell ref="K52:N52"/>
    <mergeCell ref="J53:J62"/>
    <mergeCell ref="K62:N62"/>
    <mergeCell ref="J3:J12"/>
    <mergeCell ref="K12:N12"/>
    <mergeCell ref="J13:J22"/>
    <mergeCell ref="K22:N22"/>
    <mergeCell ref="J23:J32"/>
    <mergeCell ref="K32:N32"/>
    <mergeCell ref="J93:J102"/>
    <mergeCell ref="K102:N102"/>
    <mergeCell ref="A63:A72"/>
    <mergeCell ref="A73:A82"/>
    <mergeCell ref="A83:A92"/>
    <mergeCell ref="A93:A102"/>
    <mergeCell ref="A3:A12"/>
    <mergeCell ref="A13:A22"/>
    <mergeCell ref="A23:A32"/>
    <mergeCell ref="A33:A42"/>
    <mergeCell ref="A43:A52"/>
    <mergeCell ref="A53:A62"/>
    <mergeCell ref="B12:E12"/>
    <mergeCell ref="B92:E92"/>
    <mergeCell ref="B102:E102"/>
    <mergeCell ref="B82:E82"/>
    <mergeCell ref="B72:E72"/>
    <mergeCell ref="B62:E62"/>
    <mergeCell ref="B52:E52"/>
    <mergeCell ref="B42:E42"/>
    <mergeCell ref="B32:E32"/>
    <mergeCell ref="B22:E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 Millers</dc:creator>
  <cp:lastModifiedBy>Daniels Millers</cp:lastModifiedBy>
  <dcterms:created xsi:type="dcterms:W3CDTF">2026-03-25T19:42:21Z</dcterms:created>
  <dcterms:modified xsi:type="dcterms:W3CDTF">2026-03-25T21:30:12Z</dcterms:modified>
</cp:coreProperties>
</file>